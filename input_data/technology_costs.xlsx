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c145674\coding_projects\Opt_H2\input_data\"/>
    </mc:Choice>
  </mc:AlternateContent>
  <xr:revisionPtr revIDLastSave="0" documentId="13_ncr:1_{F1713F71-B50B-4905-9683-E2F9ADC677FD}" xr6:coauthVersionLast="36" xr6:coauthVersionMax="47" xr10:uidLastSave="{00000000-0000-0000-0000-000000000000}"/>
  <bookViews>
    <workbookView xWindow="2928" yWindow="-21720" windowWidth="51840" windowHeight="21120" xr2:uid="{00000000-000D-0000-FFFF-FFFF00000000}"/>
  </bookViews>
  <sheets>
    <sheet name="costs" sheetId="2" r:id="rId1"/>
    <sheet name="lci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0" i="2" l="1"/>
  <c r="B61" i="2"/>
  <c r="B62" i="2" s="1"/>
  <c r="B22" i="2" s="1"/>
  <c r="I22" i="2" s="1"/>
  <c r="I29" i="2"/>
  <c r="J36" i="2"/>
  <c r="I36" i="2"/>
  <c r="N30" i="2"/>
  <c r="N24" i="2"/>
  <c r="M24" i="2"/>
  <c r="A53" i="2"/>
  <c r="B55" i="2"/>
  <c r="B58" i="2"/>
  <c r="B34" i="2" s="1"/>
  <c r="B44" i="2" s="1"/>
  <c r="I38" i="2"/>
  <c r="I41" i="2"/>
  <c r="J41" i="2"/>
  <c r="I42" i="2"/>
  <c r="I39" i="2"/>
  <c r="J5" i="2"/>
  <c r="J8" i="2"/>
  <c r="J24" i="2"/>
  <c r="J25" i="2"/>
  <c r="J28" i="2"/>
  <c r="J31" i="2"/>
  <c r="I4" i="2"/>
  <c r="I5" i="2"/>
  <c r="I7" i="2"/>
  <c r="I8" i="2"/>
  <c r="I10" i="2"/>
  <c r="I11" i="2"/>
  <c r="I12" i="2"/>
  <c r="I13" i="2"/>
  <c r="I14" i="2"/>
  <c r="I15" i="2"/>
  <c r="I16" i="2"/>
  <c r="I17" i="2"/>
  <c r="I18" i="2"/>
  <c r="I19" i="2"/>
  <c r="I20" i="2"/>
  <c r="I21" i="2"/>
  <c r="I23" i="2"/>
  <c r="I24" i="2"/>
  <c r="I25" i="2"/>
  <c r="I26" i="2"/>
  <c r="I27" i="2"/>
  <c r="I28" i="2"/>
  <c r="I30" i="2"/>
  <c r="I31" i="2"/>
  <c r="I32" i="2"/>
  <c r="I34" i="2"/>
  <c r="I35" i="2"/>
  <c r="I2" i="2"/>
  <c r="C19" i="2"/>
  <c r="J19" i="2" s="1"/>
  <c r="C35" i="2"/>
  <c r="J34" i="2" s="1"/>
  <c r="C26" i="2"/>
  <c r="J22" i="2"/>
  <c r="C20" i="2"/>
  <c r="J20" i="2" s="1"/>
  <c r="C3" i="2"/>
  <c r="J3" i="2" s="1"/>
  <c r="C6" i="2"/>
  <c r="J6" i="2" s="1"/>
  <c r="C9" i="2"/>
  <c r="J9" i="2" s="1"/>
  <c r="B9" i="2"/>
  <c r="I9" i="2" s="1"/>
  <c r="C31" i="2"/>
  <c r="J30" i="2" s="1"/>
  <c r="C36" i="2"/>
  <c r="J35" i="2" s="1"/>
  <c r="C41" i="2"/>
  <c r="C46" i="2"/>
  <c r="J42" i="2" s="1"/>
  <c r="C48" i="2"/>
  <c r="J39" i="2" s="1"/>
  <c r="B3" i="2"/>
  <c r="I3" i="2" s="1"/>
  <c r="B6" i="2"/>
  <c r="I6" i="2" s="1"/>
  <c r="C37" i="2"/>
  <c r="B47" i="2"/>
  <c r="C47" i="2" s="1"/>
  <c r="J43" i="2" s="1"/>
  <c r="B42" i="2"/>
  <c r="C34" i="2" l="1"/>
  <c r="C44" i="2" s="1"/>
  <c r="C30" i="2"/>
  <c r="J29" i="2" s="1"/>
  <c r="I37" i="2"/>
  <c r="I33" i="2"/>
  <c r="C12" i="2"/>
  <c r="J12" i="2" s="1"/>
  <c r="I43" i="2"/>
  <c r="C42" i="2"/>
  <c r="J37" i="2" s="1"/>
  <c r="J33" i="2" l="1"/>
  <c r="J40" i="2"/>
  <c r="I40" i="2"/>
  <c r="C27" i="2"/>
  <c r="J26" i="2" s="1"/>
  <c r="C4" i="2" l="1"/>
  <c r="J4" i="2" s="1"/>
  <c r="C7" i="2"/>
  <c r="J7" i="2" s="1"/>
  <c r="C10" i="2"/>
  <c r="J10" i="2" s="1"/>
  <c r="C11" i="2"/>
  <c r="J11" i="2" s="1"/>
  <c r="C13" i="2"/>
  <c r="J13" i="2" s="1"/>
  <c r="C14" i="2"/>
  <c r="J14" i="2" s="1"/>
  <c r="C15" i="2"/>
  <c r="J15" i="2" s="1"/>
  <c r="C18" i="2"/>
  <c r="J18" i="2" s="1"/>
  <c r="C21" i="2"/>
  <c r="J21" i="2" s="1"/>
  <c r="C23" i="2"/>
  <c r="J23" i="2" s="1"/>
  <c r="C28" i="2"/>
  <c r="J27" i="2" s="1"/>
  <c r="C33" i="2"/>
  <c r="J32" i="2" s="1"/>
  <c r="C16" i="2" l="1"/>
  <c r="J16" i="2" s="1"/>
  <c r="C17" i="2"/>
  <c r="J17" i="2" s="1"/>
  <c r="C2" i="2" l="1"/>
  <c r="J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Tobias Schließ</author>
  </authors>
  <commentList>
    <comment ref="B1" authorId="0" shapeId="0" xr:uid="{50E2EC63-F654-483F-AC93-A23EB03DBFFB}">
      <text>
        <r>
          <rPr>
            <b/>
            <sz val="9"/>
            <color indexed="81"/>
            <rFont val="Segoe UI"/>
            <family val="2"/>
          </rPr>
          <t>Tobias Schließ:</t>
        </r>
        <r>
          <rPr>
            <sz val="9"/>
            <color indexed="81"/>
            <rFont val="Segoe UI"/>
            <family val="2"/>
          </rPr>
          <t xml:space="preserve">
changed from "ecoinvent_312_reference"</t>
        </r>
      </text>
    </comment>
  </commentList>
</comments>
</file>

<file path=xl/sharedStrings.xml><?xml version="1.0" encoding="utf-8"?>
<sst xmlns="http://schemas.openxmlformats.org/spreadsheetml/2006/main" count="330" uniqueCount="161">
  <si>
    <t>Parameter</t>
  </si>
  <si>
    <t>Unit</t>
  </si>
  <si>
    <t>[years]</t>
  </si>
  <si>
    <t>[-]</t>
  </si>
  <si>
    <t>bat_dod</t>
  </si>
  <si>
    <t>bat_re</t>
  </si>
  <si>
    <t>project_lt</t>
  </si>
  <si>
    <t>electr_eff</t>
  </si>
  <si>
    <t>pv_lt</t>
  </si>
  <si>
    <t>wind_on_lt</t>
  </si>
  <si>
    <t>bat_en_lt</t>
  </si>
  <si>
    <t>bat_p_lt</t>
  </si>
  <si>
    <t>electr_lt</t>
  </si>
  <si>
    <t>grid_lt</t>
  </si>
  <si>
    <t>bat_dis_loss</t>
  </si>
  <si>
    <t>pv_om</t>
  </si>
  <si>
    <t>wind_on_om</t>
  </si>
  <si>
    <t>bat_en_om</t>
  </si>
  <si>
    <t>bat_p_om</t>
  </si>
  <si>
    <t>electr_om</t>
  </si>
  <si>
    <t>grid_om</t>
  </si>
  <si>
    <t>pv_capex</t>
  </si>
  <si>
    <t>wind_on_capex</t>
  </si>
  <si>
    <t>bat_en_capex</t>
  </si>
  <si>
    <t>bat_p_capex</t>
  </si>
  <si>
    <t>grid_capex</t>
  </si>
  <si>
    <t>electr_capex</t>
  </si>
  <si>
    <t>Project lifetime</t>
  </si>
  <si>
    <t>bat_soc_min</t>
  </si>
  <si>
    <t>bat_soc_max</t>
  </si>
  <si>
    <t>bat_eff_dis</t>
  </si>
  <si>
    <t>bat_eff_ch</t>
  </si>
  <si>
    <t>[h]</t>
  </si>
  <si>
    <t>Onshore wind</t>
  </si>
  <si>
    <t>Technology</t>
  </si>
  <si>
    <t>[k€/MWp]</t>
  </si>
  <si>
    <t>[k€/MWh]</t>
  </si>
  <si>
    <t>[k€/MW]</t>
  </si>
  <si>
    <t>[k€/MWe]</t>
  </si>
  <si>
    <t>[€/kW]</t>
  </si>
  <si>
    <t>CAPEX</t>
  </si>
  <si>
    <t>O\&amp;M</t>
  </si>
  <si>
    <t>Efficiency</t>
  </si>
  <si>
    <t>Lifetime</t>
  </si>
  <si>
    <t>Generic</t>
  </si>
  <si>
    <t>Ground-mounted solar PV</t>
  </si>
  <si>
    <t>Roundtrip efficiency</t>
  </si>
  <si>
    <t>Discharge efficiency</t>
  </si>
  <si>
    <t>Charging efficiency</t>
  </si>
  <si>
    <t>Standby losses</t>
  </si>
  <si>
    <t>Energy capacity - CAPEX</t>
  </si>
  <si>
    <t>Energy capacity - Lifetime</t>
  </si>
  <si>
    <t>Power capacity - CAPEX</t>
  </si>
  <si>
    <t>Power capacity - Lifetime</t>
  </si>
  <si>
    <t>Depth of discharge</t>
  </si>
  <si>
    <t>Ramp rate</t>
  </si>
  <si>
    <t>State of charge (Min.)</t>
  </si>
  <si>
    <t>State of charge (Max.)</t>
  </si>
  <si>
    <t>Li-ion Battery</t>
  </si>
  <si>
    <t>PEM electrolyzer</t>
  </si>
  <si>
    <t>Grid network</t>
  </si>
  <si>
    <t>Hydrogen storage</t>
  </si>
  <si>
    <t>Reference</t>
  </si>
  <si>
    <t>Energy capacity  - O\&amp;M</t>
  </si>
  <si>
    <t>Power capacity  - O\&amp;M</t>
  </si>
  <si>
    <t>electr_bos_lt</t>
  </si>
  <si>
    <t>hb_capex</t>
  </si>
  <si>
    <t>hb_om</t>
  </si>
  <si>
    <t>hb_lt</t>
  </si>
  <si>
    <t>hb_ramp</t>
  </si>
  <si>
    <t>hb_TU</t>
  </si>
  <si>
    <t>hb_TD</t>
  </si>
  <si>
    <t>hb_pl_min</t>
  </si>
  <si>
    <t>asu_capex</t>
  </si>
  <si>
    <t>asu_om</t>
  </si>
  <si>
    <t>asu_lt</t>
  </si>
  <si>
    <t>Haber-Bosch unit</t>
  </si>
  <si>
    <t>[k€/tNH3/h]</t>
  </si>
  <si>
    <t>asu_power_demand</t>
  </si>
  <si>
    <t>hb_startup_cost</t>
  </si>
  <si>
    <t>k€/time</t>
  </si>
  <si>
    <r>
      <t xml:space="preserve">Used Euro-area HICP CPI index values (CPI2019 = </t>
    </r>
    <r>
      <rPr>
        <b/>
        <sz val="11"/>
        <color theme="1"/>
        <rFont val="Calibri"/>
        <family val="2"/>
        <scheme val="minor"/>
      </rPr>
      <t>105.418</t>
    </r>
    <r>
      <rPr>
        <sz val="11"/>
        <color theme="1"/>
        <rFont val="Calibri"/>
        <family val="2"/>
        <scheme val="minor"/>
      </rPr>
      <t xml:space="preserve">, CPI2025 = </t>
    </r>
    <r>
      <rPr>
        <b/>
        <sz val="11"/>
        <color theme="1"/>
        <rFont val="Calibri"/>
        <family val="2"/>
        <scheme val="minor"/>
      </rPr>
      <t>130.440</t>
    </r>
    <r>
      <rPr>
        <sz val="11"/>
        <color theme="1"/>
        <rFont val="Calibri"/>
        <family val="2"/>
        <scheme val="minor"/>
      </rPr>
      <t xml:space="preserve">), giving a multiplier </t>
    </r>
    <r>
      <rPr>
        <b/>
        <sz val="11"/>
        <color theme="1"/>
        <rFont val="Calibri"/>
        <family val="2"/>
        <scheme val="minor"/>
      </rPr>
      <t>130.440 / 105.418 = 1.23736</t>
    </r>
    <r>
      <rPr>
        <sz val="11"/>
        <color theme="1"/>
        <rFont val="Calibri"/>
        <family val="2"/>
        <scheme val="minor"/>
      </rPr>
      <t xml:space="preserve"> (≈ </t>
    </r>
    <r>
      <rPr>
        <b/>
        <sz val="11"/>
        <color theme="1"/>
        <rFont val="Calibri"/>
        <family val="2"/>
        <scheme val="minor"/>
      </rPr>
      <t>+23.74%</t>
    </r>
    <r>
      <rPr>
        <sz val="11"/>
        <color theme="1"/>
        <rFont val="Calibri"/>
        <family val="2"/>
        <scheme val="minor"/>
      </rPr>
      <t xml:space="preserve"> cumulative inflation).</t>
    </r>
  </si>
  <si>
    <t>EUR2019/EU2025 convert for inflation</t>
  </si>
  <si>
    <t>[€/kWh]</t>
  </si>
  <si>
    <t>Power demand</t>
  </si>
  <si>
    <t>Nitrogen requirement</t>
  </si>
  <si>
    <t>Air separation unit</t>
  </si>
  <si>
    <t>USD/EUR</t>
  </si>
  <si>
    <t>kWh/kgNH$_3$</t>
  </si>
  <si>
    <t>kg N/kgNH$_3$</t>
  </si>
  <si>
    <t>EUR2019/kgNH$_3$/h, Campion, https://www.sciencedirect.com/science/article/pii/S1364032122009388</t>
  </si>
  <si>
    <t>[€/kg H$_2$]</t>
  </si>
  <si>
    <t>kg H$_2$/kgNH$_3$</t>
  </si>
  <si>
    <t>[€/kW$_\text{e}$]</t>
  </si>
  <si>
    <t>[€/kW$_\text{p}$]</t>
  </si>
  <si>
    <t>[kWh/kg NH$_3$]</t>
  </si>
  <si>
    <t>[kg H$_2$/kg NH$_3$]</t>
  </si>
  <si>
    <t>[€/kg NH$_3$/h]</t>
  </si>
  <si>
    <t>[€/kgN$_2$/h]</t>
  </si>
  <si>
    <t>[kWh/kgN$_2$]</t>
  </si>
  <si>
    <t>[k€/tN$_2$/h]</t>
  </si>
  <si>
    <t>kWh/kgN$_2$</t>
  </si>
  <si>
    <t>[kg N$_2$/kg NH$_3$]</t>
  </si>
  <si>
    <r>
      <t>Power requirement (w.o. H$_</t>
    </r>
    <r>
      <rPr>
        <vertAlign val="subscript"/>
        <sz val="11"/>
        <color theme="1"/>
        <rFont val="Calibri"/>
        <family val="2"/>
        <scheme val="minor"/>
      </rPr>
      <t>2$</t>
    </r>
    <r>
      <rPr>
        <sz val="11"/>
        <color theme="1"/>
        <rFont val="Calibri"/>
        <family val="2"/>
        <scheme val="minor"/>
      </rPr>
      <t>)</t>
    </r>
  </si>
  <si>
    <t>h2_ves_capex</t>
  </si>
  <si>
    <t>h2_ves_om</t>
  </si>
  <si>
    <t>h2_ves_lt</t>
  </si>
  <si>
    <t>h2_ramp_ves</t>
  </si>
  <si>
    <t>kg_H2_per_kgNH3</t>
  </si>
  <si>
    <t>HB_kwh_per_kgNH3</t>
  </si>
  <si>
    <t>N_per_kgNH3</t>
  </si>
  <si>
    <t>Minimum part load ratio</t>
  </si>
  <si>
    <t>Hydrogen requirement</t>
  </si>
  <si>
    <t>USD 2020</t>
  </si>
  <si>
    <t>USD 2025</t>
  </si>
  <si>
    <t>EUR 2025</t>
  </si>
  <si>
    <t>inflation US 2020-2025</t>
  </si>
  <si>
    <t>\cite{terlouw2022a}</t>
  </si>
  <si>
    <t xml:space="preserve">\cite{Agora2025} </t>
  </si>
  <si>
    <t xml:space="preserve">\cite{smith2025cost}  </t>
  </si>
  <si>
    <t xml:space="preserve"> \cite{PIK2025PriceData,DOE2020}    </t>
  </si>
  <si>
    <t xml:space="preserve"> \cite{tonelli2024} </t>
  </si>
  <si>
    <t>\cite{Wernet2016}</t>
  </si>
  <si>
    <t>Component</t>
  </si>
  <si>
    <t>Name (Activity)</t>
  </si>
  <si>
    <t>Reference product</t>
  </si>
  <si>
    <t>Location</t>
  </si>
  <si>
    <t>Hydrogen storage vessel</t>
  </si>
  <si>
    <t>high pressure hydrogen storage tank</t>
  </si>
  <si>
    <t>GLO</t>
  </si>
  <si>
    <t>photovoltaic open ground installation, 570 kWp, multi-Si, on open ground</t>
  </si>
  <si>
    <t>RER</t>
  </si>
  <si>
    <t>Onshore wind turbine</t>
  </si>
  <si>
    <t>market for wind turbine, 2 MW, onshore</t>
  </si>
  <si>
    <t>wind turbine, 2 MW, onshore</t>
  </si>
  <si>
    <t>Onshore wind network connection</t>
  </si>
  <si>
    <t>market for wind turbine network connection, 2 MW, onshore</t>
  </si>
  <si>
    <t>wind turbine network connection, 2 MW, onshore</t>
  </si>
  <si>
    <t>Electrolyzer – Stack</t>
  </si>
  <si>
    <t>electrolyzer production, 1 MWe, PEM, Stack</t>
  </si>
  <si>
    <t>electrolyzer, 1 MWe, PEM, Stack</t>
  </si>
  <si>
    <t>Electrolyzer – Balance of Plant</t>
  </si>
  <si>
    <t>electrolyzer production, 1 MWe, PEM, Balance of Plant</t>
  </si>
  <si>
    <t>electrolyzer, 1 MWe, PEM, Balance of Plant</t>
  </si>
  <si>
    <t>Battery (NMC622)</t>
  </si>
  <si>
    <t>market for battery, Li-ion, NMC622</t>
  </si>
  <si>
    <t>battery, Li-ion, NMC622</t>
  </si>
  <si>
    <t>Grid network connection</t>
  </si>
  <si>
    <t>wind turbine network connection construction, 4.5 MW, onshore</t>
  </si>
  <si>
    <t>wind turbine network connection, 4.5 MW, onshore</t>
  </si>
  <si>
    <t>Air separation unit (ASU)</t>
  </si>
  <si>
    <t>nitrogen production, infrastructure</t>
  </si>
  <si>
    <t>Haber–Bosch synthesis unit</t>
  </si>
  <si>
    <t>ammonia production, infrastructure and catalyst</t>
  </si>
  <si>
    <t>\autocite{sacchi2022}</t>
  </si>
  <si>
    <t>\autocite{Wernet2016}</t>
  </si>
  <si>
    <t>LCI modified based on\autocite{Wernet2016}, power demand excluded.</t>
  </si>
  <si>
    <t>Ref.</t>
  </si>
  <si>
    <t>39%/CAPEX HB from Tonelli et al., similar assumption of 40% was used in Smith &amp; Torrente-Murciano, however based on personal comms we assume 20%,</t>
  </si>
  <si>
    <t>ecoinvent-3.12-cutoff_remind-SSP1-PkBudg650_2030_08_full</t>
  </si>
  <si>
    <t>ecoinvent-3.12-cutoff_remind-SSP1-PkBudg650_2050_08_full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</si>
</sst>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"/>
      <family val="2"/>
    </font>
    <font>
      <vertAlign val="subscript"/>
      <sz val="11"/>
      <color theme="1"/>
      <name val="Calibri"/>
      <family val="2"/>
      <scheme val="minor"/>
    </font>
    <font>
      <b/>
      <sz val="10"/>
      <color theme="1"/>
      <name val="Arial Unicode MS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3" xfId="0" applyBorder="1"/>
    <xf numFmtId="2" fontId="0" fillId="0" borderId="0" xfId="0" applyNumberFormat="1"/>
    <xf numFmtId="0" fontId="1" fillId="0" borderId="9" xfId="0" applyFont="1" applyBorder="1"/>
    <xf numFmtId="11" fontId="0" fillId="0" borderId="0" xfId="0" applyNumberFormat="1"/>
    <xf numFmtId="1" fontId="0" fillId="0" borderId="0" xfId="0" applyNumberForma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6" xfId="0" applyFont="1" applyBorder="1"/>
    <xf numFmtId="164" fontId="0" fillId="0" borderId="1" xfId="0" applyNumberFormat="1" applyBorder="1"/>
    <xf numFmtId="164" fontId="0" fillId="0" borderId="3" xfId="0" applyNumberFormat="1" applyBorder="1"/>
    <xf numFmtId="0" fontId="1" fillId="0" borderId="15" xfId="0" applyFont="1" applyBorder="1"/>
    <xf numFmtId="0" fontId="0" fillId="0" borderId="21" xfId="0" applyBorder="1"/>
    <xf numFmtId="0" fontId="0" fillId="0" borderId="24" xfId="0" applyBorder="1"/>
    <xf numFmtId="0" fontId="1" fillId="0" borderId="16" xfId="0" applyFont="1" applyBorder="1"/>
    <xf numFmtId="0" fontId="0" fillId="0" borderId="22" xfId="0" applyBorder="1"/>
    <xf numFmtId="0" fontId="0" fillId="0" borderId="25" xfId="0" applyBorder="1"/>
    <xf numFmtId="0" fontId="1" fillId="0" borderId="14" xfId="0" applyFont="1" applyBorder="1"/>
    <xf numFmtId="0" fontId="1" fillId="0" borderId="4" xfId="0" applyFont="1" applyBorder="1"/>
    <xf numFmtId="0" fontId="1" fillId="0" borderId="13" xfId="0" applyFont="1" applyBorder="1"/>
    <xf numFmtId="0" fontId="0" fillId="0" borderId="12" xfId="0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0" fontId="1" fillId="0" borderId="17" xfId="0" applyFont="1" applyBorder="1"/>
    <xf numFmtId="0" fontId="0" fillId="0" borderId="23" xfId="0" applyBorder="1"/>
    <xf numFmtId="0" fontId="0" fillId="0" borderId="26" xfId="0" applyBorder="1"/>
    <xf numFmtId="0" fontId="1" fillId="0" borderId="4" xfId="0" applyFont="1" applyBorder="1" applyAlignment="1">
      <alignment horizontal="center"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/>
    <xf numFmtId="0" fontId="6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20"/>
  <sheetViews>
    <sheetView tabSelected="1" zoomScale="70" zoomScaleNormal="70" workbookViewId="0">
      <selection activeCell="B23" sqref="B23"/>
    </sheetView>
  </sheetViews>
  <sheetFormatPr baseColWidth="10" defaultColWidth="8.88671875" defaultRowHeight="14.4" x14ac:dyDescent="0.3"/>
  <cols>
    <col min="1" max="1" width="22.33203125" bestFit="1" customWidth="1"/>
    <col min="2" max="2" width="25.44140625" bestFit="1" customWidth="1"/>
    <col min="3" max="3" width="24.6640625" customWidth="1"/>
    <col min="4" max="4" width="14.88671875" bestFit="1" customWidth="1"/>
    <col min="5" max="5" width="20.6640625" customWidth="1"/>
    <col min="6" max="6" width="14.88671875" style="17" customWidth="1"/>
    <col min="7" max="7" width="24.77734375" style="17" customWidth="1"/>
    <col min="8" max="8" width="29" customWidth="1"/>
    <col min="9" max="9" width="23.109375" bestFit="1" customWidth="1"/>
    <col min="10" max="10" width="23.109375" customWidth="1"/>
    <col min="11" max="11" width="14.88671875" bestFit="1" customWidth="1"/>
    <col min="12" max="12" width="27.21875" customWidth="1"/>
    <col min="13" max="13" width="28.21875" bestFit="1" customWidth="1"/>
    <col min="14" max="14" width="28.33203125" customWidth="1"/>
    <col min="15" max="15" width="32.6640625" bestFit="1" customWidth="1"/>
    <col min="16" max="16" width="31.77734375" bestFit="1" customWidth="1"/>
    <col min="17" max="17" width="21.109375" bestFit="1" customWidth="1"/>
    <col min="18" max="18" width="11.44140625" bestFit="1" customWidth="1"/>
    <col min="19" max="19" width="19.109375" bestFit="1" customWidth="1"/>
    <col min="20" max="20" width="18.33203125" bestFit="1" customWidth="1"/>
    <col min="21" max="21" width="18.88671875" bestFit="1" customWidth="1"/>
    <col min="22" max="22" width="10.21875" customWidth="1"/>
    <col min="23" max="23" width="31.44140625" bestFit="1" customWidth="1"/>
    <col min="24" max="26" width="24.77734375" customWidth="1"/>
    <col min="27" max="27" width="18.33203125" customWidth="1"/>
    <col min="28" max="28" width="27.21875" bestFit="1" customWidth="1"/>
    <col min="29" max="29" width="15.88671875" bestFit="1" customWidth="1"/>
    <col min="30" max="30" width="13.88671875" bestFit="1" customWidth="1"/>
  </cols>
  <sheetData>
    <row r="1" spans="1:13" ht="15" thickBot="1" x14ac:dyDescent="0.35">
      <c r="A1" s="1" t="s">
        <v>0</v>
      </c>
      <c r="B1" s="45" t="s">
        <v>159</v>
      </c>
      <c r="C1" s="45" t="s">
        <v>160</v>
      </c>
      <c r="D1" s="11" t="s">
        <v>1</v>
      </c>
      <c r="E1" s="18">
        <v>0.86</v>
      </c>
      <c r="F1" s="1" t="s">
        <v>87</v>
      </c>
      <c r="G1" s="32" t="s">
        <v>34</v>
      </c>
      <c r="H1" s="33" t="s">
        <v>0</v>
      </c>
      <c r="I1" s="33">
        <v>2025</v>
      </c>
      <c r="J1" s="33">
        <v>2050</v>
      </c>
      <c r="K1" s="34" t="s">
        <v>1</v>
      </c>
      <c r="L1" s="11" t="s">
        <v>62</v>
      </c>
    </row>
    <row r="2" spans="1:13" ht="15" thickBot="1" x14ac:dyDescent="0.35">
      <c r="A2" s="4" t="s">
        <v>6</v>
      </c>
      <c r="B2" s="2">
        <v>30</v>
      </c>
      <c r="C2" s="9">
        <f>B2</f>
        <v>30</v>
      </c>
      <c r="D2" s="16" t="s">
        <v>2</v>
      </c>
      <c r="E2" s="14" t="s">
        <v>117</v>
      </c>
      <c r="F2"/>
      <c r="G2" s="22" t="s">
        <v>44</v>
      </c>
      <c r="H2" s="23" t="s">
        <v>27</v>
      </c>
      <c r="I2" s="2">
        <f t="shared" ref="I2:I25" si="0">B2</f>
        <v>30</v>
      </c>
      <c r="J2" s="9">
        <f t="shared" ref="J2:J25" si="1">C2</f>
        <v>30</v>
      </c>
      <c r="K2" s="39" t="s">
        <v>2</v>
      </c>
      <c r="L2" s="14" t="s">
        <v>117</v>
      </c>
    </row>
    <row r="3" spans="1:13" x14ac:dyDescent="0.3">
      <c r="A3" s="2" t="s">
        <v>21</v>
      </c>
      <c r="B3" s="2">
        <f>ROUND(1500*E1,-1)</f>
        <v>1290</v>
      </c>
      <c r="C3" s="9">
        <f>ROUND(753*E1,-1)</f>
        <v>650</v>
      </c>
      <c r="D3" s="14" t="s">
        <v>35</v>
      </c>
      <c r="E3" s="16" t="s">
        <v>118</v>
      </c>
      <c r="F3"/>
      <c r="G3" s="25" t="s">
        <v>45</v>
      </c>
      <c r="H3" s="26" t="s">
        <v>40</v>
      </c>
      <c r="I3" s="4">
        <f t="shared" si="0"/>
        <v>1290</v>
      </c>
      <c r="J3" s="5">
        <f t="shared" si="1"/>
        <v>650</v>
      </c>
      <c r="K3" s="40" t="s">
        <v>94</v>
      </c>
      <c r="L3" s="16" t="s">
        <v>118</v>
      </c>
      <c r="M3" s="1"/>
    </row>
    <row r="4" spans="1:13" x14ac:dyDescent="0.3">
      <c r="A4" s="4" t="s">
        <v>15</v>
      </c>
      <c r="B4" s="4">
        <v>0.02</v>
      </c>
      <c r="C4" s="5">
        <f>B4</f>
        <v>0.02</v>
      </c>
      <c r="D4" s="16" t="s">
        <v>3</v>
      </c>
      <c r="E4" s="16" t="s">
        <v>117</v>
      </c>
      <c r="F4"/>
      <c r="G4" s="25"/>
      <c r="H4" s="26" t="s">
        <v>41</v>
      </c>
      <c r="I4" s="4">
        <f t="shared" si="0"/>
        <v>0.02</v>
      </c>
      <c r="J4" s="5">
        <f t="shared" si="1"/>
        <v>0.02</v>
      </c>
      <c r="K4" s="40" t="s">
        <v>3</v>
      </c>
      <c r="L4" s="16" t="s">
        <v>117</v>
      </c>
    </row>
    <row r="5" spans="1:13" ht="15" thickBot="1" x14ac:dyDescent="0.35">
      <c r="A5" s="6" t="s">
        <v>8</v>
      </c>
      <c r="B5" s="6">
        <v>30</v>
      </c>
      <c r="C5" s="8">
        <v>35</v>
      </c>
      <c r="D5" s="15" t="s">
        <v>2</v>
      </c>
      <c r="E5" s="16" t="s">
        <v>117</v>
      </c>
      <c r="F5"/>
      <c r="G5" s="25"/>
      <c r="H5" s="26" t="s">
        <v>43</v>
      </c>
      <c r="I5" s="4">
        <f t="shared" si="0"/>
        <v>30</v>
      </c>
      <c r="J5" s="5">
        <f t="shared" si="1"/>
        <v>35</v>
      </c>
      <c r="K5" s="40" t="s">
        <v>2</v>
      </c>
      <c r="L5" s="16" t="s">
        <v>117</v>
      </c>
    </row>
    <row r="6" spans="1:13" x14ac:dyDescent="0.3">
      <c r="A6" s="2" t="s">
        <v>22</v>
      </c>
      <c r="B6" s="2">
        <f>ROUND(1570*E1,-1)</f>
        <v>1350</v>
      </c>
      <c r="C6" s="9">
        <f>ROUND(1188*E1,-1)</f>
        <v>1020</v>
      </c>
      <c r="D6" s="14" t="s">
        <v>35</v>
      </c>
      <c r="E6" s="16" t="s">
        <v>118</v>
      </c>
      <c r="F6"/>
      <c r="G6" s="25" t="s">
        <v>33</v>
      </c>
      <c r="H6" s="26" t="s">
        <v>40</v>
      </c>
      <c r="I6" s="4">
        <f t="shared" si="0"/>
        <v>1350</v>
      </c>
      <c r="J6" s="5">
        <f t="shared" si="1"/>
        <v>1020</v>
      </c>
      <c r="K6" s="40" t="s">
        <v>94</v>
      </c>
      <c r="L6" s="16" t="s">
        <v>118</v>
      </c>
    </row>
    <row r="7" spans="1:13" ht="15.6" customHeight="1" x14ac:dyDescent="0.3">
      <c r="A7" s="4" t="s">
        <v>16</v>
      </c>
      <c r="B7" s="4">
        <v>2.5000000000000001E-2</v>
      </c>
      <c r="C7" s="5">
        <f>B7</f>
        <v>2.5000000000000001E-2</v>
      </c>
      <c r="D7" s="16" t="s">
        <v>3</v>
      </c>
      <c r="E7" s="16" t="s">
        <v>117</v>
      </c>
      <c r="F7"/>
      <c r="G7" s="25"/>
      <c r="H7" s="26" t="s">
        <v>41</v>
      </c>
      <c r="I7" s="4">
        <f t="shared" si="0"/>
        <v>2.5000000000000001E-2</v>
      </c>
      <c r="J7" s="5">
        <f t="shared" si="1"/>
        <v>2.5000000000000001E-2</v>
      </c>
      <c r="K7" s="40" t="s">
        <v>3</v>
      </c>
      <c r="L7" s="16" t="s">
        <v>117</v>
      </c>
      <c r="M7" s="1"/>
    </row>
    <row r="8" spans="1:13" ht="15" thickBot="1" x14ac:dyDescent="0.35">
      <c r="A8" s="6" t="s">
        <v>9</v>
      </c>
      <c r="B8" s="6">
        <v>25</v>
      </c>
      <c r="C8" s="8">
        <v>27</v>
      </c>
      <c r="D8" s="15" t="s">
        <v>2</v>
      </c>
      <c r="E8" s="16" t="s">
        <v>117</v>
      </c>
      <c r="F8"/>
      <c r="G8" s="25"/>
      <c r="H8" s="26" t="s">
        <v>43</v>
      </c>
      <c r="I8" s="4">
        <f t="shared" si="0"/>
        <v>25</v>
      </c>
      <c r="J8" s="5">
        <f t="shared" si="1"/>
        <v>27</v>
      </c>
      <c r="K8" s="40" t="s">
        <v>2</v>
      </c>
      <c r="L8" s="16" t="s">
        <v>117</v>
      </c>
    </row>
    <row r="9" spans="1:13" x14ac:dyDescent="0.3">
      <c r="A9" s="2" t="s">
        <v>23</v>
      </c>
      <c r="B9" s="2">
        <f>ROUND(655*E1,-1)</f>
        <v>560</v>
      </c>
      <c r="C9" s="9">
        <f>ROUND(452*E1,-1)</f>
        <v>390</v>
      </c>
      <c r="D9" s="14" t="s">
        <v>36</v>
      </c>
      <c r="E9" s="16" t="s">
        <v>118</v>
      </c>
      <c r="F9"/>
      <c r="G9" s="25" t="s">
        <v>58</v>
      </c>
      <c r="H9" s="26" t="s">
        <v>50</v>
      </c>
      <c r="I9" s="4">
        <f t="shared" si="0"/>
        <v>560</v>
      </c>
      <c r="J9" s="5">
        <f t="shared" si="1"/>
        <v>390</v>
      </c>
      <c r="K9" s="40" t="s">
        <v>83</v>
      </c>
      <c r="L9" s="16" t="s">
        <v>118</v>
      </c>
    </row>
    <row r="10" spans="1:13" x14ac:dyDescent="0.3">
      <c r="A10" s="4" t="s">
        <v>17</v>
      </c>
      <c r="B10" s="4">
        <v>0.02</v>
      </c>
      <c r="C10" s="5">
        <f>B10</f>
        <v>0.02</v>
      </c>
      <c r="D10" s="16" t="s">
        <v>3</v>
      </c>
      <c r="E10" s="16" t="s">
        <v>117</v>
      </c>
      <c r="F10"/>
      <c r="G10" s="25"/>
      <c r="H10" s="26" t="s">
        <v>63</v>
      </c>
      <c r="I10" s="4">
        <f t="shared" si="0"/>
        <v>0.02</v>
      </c>
      <c r="J10" s="5">
        <f t="shared" si="1"/>
        <v>0.02</v>
      </c>
      <c r="K10" s="40" t="s">
        <v>3</v>
      </c>
      <c r="L10" s="16" t="s">
        <v>117</v>
      </c>
    </row>
    <row r="11" spans="1:13" x14ac:dyDescent="0.3">
      <c r="A11" s="4" t="s">
        <v>10</v>
      </c>
      <c r="B11" s="4">
        <v>13</v>
      </c>
      <c r="C11" s="5">
        <f>B11</f>
        <v>13</v>
      </c>
      <c r="D11" s="16" t="s">
        <v>2</v>
      </c>
      <c r="E11" s="16" t="s">
        <v>117</v>
      </c>
      <c r="F11"/>
      <c r="G11" s="25"/>
      <c r="H11" s="26" t="s">
        <v>51</v>
      </c>
      <c r="I11" s="4">
        <f t="shared" si="0"/>
        <v>13</v>
      </c>
      <c r="J11" s="5">
        <f t="shared" si="1"/>
        <v>13</v>
      </c>
      <c r="K11" s="40" t="s">
        <v>2</v>
      </c>
      <c r="L11" s="16" t="s">
        <v>117</v>
      </c>
      <c r="M11" s="1"/>
    </row>
    <row r="12" spans="1:13" x14ac:dyDescent="0.3">
      <c r="A12" s="4" t="s">
        <v>24</v>
      </c>
      <c r="B12" s="4">
        <v>100</v>
      </c>
      <c r="C12" s="5">
        <f>ROUND(B12*(1+(C9-B9)/B9),-1)</f>
        <v>70</v>
      </c>
      <c r="D12" s="16" t="s">
        <v>37</v>
      </c>
      <c r="E12" s="16" t="s">
        <v>117</v>
      </c>
      <c r="F12"/>
      <c r="G12" s="25"/>
      <c r="H12" s="26" t="s">
        <v>52</v>
      </c>
      <c r="I12" s="4">
        <f t="shared" si="0"/>
        <v>100</v>
      </c>
      <c r="J12" s="5">
        <f t="shared" si="1"/>
        <v>70</v>
      </c>
      <c r="K12" s="40" t="s">
        <v>39</v>
      </c>
      <c r="L12" s="16" t="s">
        <v>117</v>
      </c>
    </row>
    <row r="13" spans="1:13" x14ac:dyDescent="0.3">
      <c r="A13" s="4" t="s">
        <v>18</v>
      </c>
      <c r="B13" s="4">
        <v>0.02</v>
      </c>
      <c r="C13" s="5">
        <f t="shared" ref="C13:C21" si="2">B13</f>
        <v>0.02</v>
      </c>
      <c r="D13" s="16" t="s">
        <v>3</v>
      </c>
      <c r="E13" s="16" t="s">
        <v>117</v>
      </c>
      <c r="F13"/>
      <c r="G13" s="25"/>
      <c r="H13" s="26" t="s">
        <v>64</v>
      </c>
      <c r="I13" s="4">
        <f t="shared" si="0"/>
        <v>0.02</v>
      </c>
      <c r="J13" s="5">
        <f t="shared" si="1"/>
        <v>0.02</v>
      </c>
      <c r="K13" s="40" t="s">
        <v>3</v>
      </c>
      <c r="L13" s="16" t="s">
        <v>117</v>
      </c>
    </row>
    <row r="14" spans="1:13" x14ac:dyDescent="0.3">
      <c r="A14" s="4" t="s">
        <v>11</v>
      </c>
      <c r="B14" s="4">
        <v>20</v>
      </c>
      <c r="C14" s="5">
        <f t="shared" si="2"/>
        <v>20</v>
      </c>
      <c r="D14" s="16" t="s">
        <v>2</v>
      </c>
      <c r="E14" s="16" t="s">
        <v>117</v>
      </c>
      <c r="F14"/>
      <c r="G14" s="25"/>
      <c r="H14" s="26" t="s">
        <v>53</v>
      </c>
      <c r="I14" s="4">
        <f t="shared" si="0"/>
        <v>20</v>
      </c>
      <c r="J14" s="5">
        <f t="shared" si="1"/>
        <v>20</v>
      </c>
      <c r="K14" s="40" t="s">
        <v>2</v>
      </c>
      <c r="L14" s="16" t="s">
        <v>117</v>
      </c>
    </row>
    <row r="15" spans="1:13" x14ac:dyDescent="0.3">
      <c r="A15" s="4" t="s">
        <v>4</v>
      </c>
      <c r="B15" s="4">
        <v>0.93</v>
      </c>
      <c r="C15" s="5">
        <f t="shared" si="2"/>
        <v>0.93</v>
      </c>
      <c r="D15" s="16" t="s">
        <v>3</v>
      </c>
      <c r="E15" s="16" t="s">
        <v>117</v>
      </c>
      <c r="F15"/>
      <c r="G15" s="25"/>
      <c r="H15" s="26" t="s">
        <v>54</v>
      </c>
      <c r="I15" s="4">
        <f t="shared" si="0"/>
        <v>0.93</v>
      </c>
      <c r="J15" s="5">
        <f t="shared" si="1"/>
        <v>0.93</v>
      </c>
      <c r="K15" s="40" t="s">
        <v>3</v>
      </c>
      <c r="L15" s="16" t="s">
        <v>117</v>
      </c>
      <c r="M15" s="1"/>
    </row>
    <row r="16" spans="1:13" x14ac:dyDescent="0.3">
      <c r="A16" s="4" t="s">
        <v>28</v>
      </c>
      <c r="B16" s="4">
        <v>3.4999999999999976E-2</v>
      </c>
      <c r="C16" s="5">
        <f t="shared" si="2"/>
        <v>3.4999999999999976E-2</v>
      </c>
      <c r="D16" s="16" t="s">
        <v>3</v>
      </c>
      <c r="E16" s="16" t="s">
        <v>117</v>
      </c>
      <c r="F16"/>
      <c r="G16" s="25"/>
      <c r="H16" s="26" t="s">
        <v>56</v>
      </c>
      <c r="I16" s="4">
        <f t="shared" si="0"/>
        <v>3.4999999999999976E-2</v>
      </c>
      <c r="J16" s="5">
        <f t="shared" si="1"/>
        <v>3.4999999999999976E-2</v>
      </c>
      <c r="K16" s="40" t="s">
        <v>3</v>
      </c>
      <c r="L16" s="16" t="s">
        <v>117</v>
      </c>
    </row>
    <row r="17" spans="1:15" x14ac:dyDescent="0.3">
      <c r="A17" s="4" t="s">
        <v>29</v>
      </c>
      <c r="B17" s="4">
        <v>0.96500000000000008</v>
      </c>
      <c r="C17" s="5">
        <f t="shared" si="2"/>
        <v>0.96500000000000008</v>
      </c>
      <c r="D17" s="16" t="s">
        <v>3</v>
      </c>
      <c r="E17" s="16" t="s">
        <v>117</v>
      </c>
      <c r="F17"/>
      <c r="G17" s="25"/>
      <c r="H17" s="26" t="s">
        <v>57</v>
      </c>
      <c r="I17" s="4">
        <f t="shared" si="0"/>
        <v>0.96500000000000008</v>
      </c>
      <c r="J17" s="5">
        <f t="shared" si="1"/>
        <v>0.96500000000000008</v>
      </c>
      <c r="K17" s="40" t="s">
        <v>3</v>
      </c>
      <c r="L17" s="16" t="s">
        <v>117</v>
      </c>
    </row>
    <row r="18" spans="1:15" x14ac:dyDescent="0.3">
      <c r="A18" s="4" t="s">
        <v>5</v>
      </c>
      <c r="B18" s="4">
        <v>0.91</v>
      </c>
      <c r="C18" s="5">
        <f t="shared" si="2"/>
        <v>0.91</v>
      </c>
      <c r="D18" s="16" t="s">
        <v>3</v>
      </c>
      <c r="E18" s="16" t="s">
        <v>117</v>
      </c>
      <c r="F18"/>
      <c r="G18" s="25"/>
      <c r="H18" s="26" t="s">
        <v>46</v>
      </c>
      <c r="I18" s="4">
        <f t="shared" si="0"/>
        <v>0.91</v>
      </c>
      <c r="J18" s="5">
        <f t="shared" si="1"/>
        <v>0.91</v>
      </c>
      <c r="K18" s="40" t="s">
        <v>3</v>
      </c>
      <c r="L18" s="16" t="s">
        <v>117</v>
      </c>
    </row>
    <row r="19" spans="1:15" x14ac:dyDescent="0.3">
      <c r="A19" s="4" t="s">
        <v>30</v>
      </c>
      <c r="B19" s="4">
        <v>0.95399999999999996</v>
      </c>
      <c r="C19" s="5">
        <f t="shared" si="2"/>
        <v>0.95399999999999996</v>
      </c>
      <c r="D19" s="16" t="s">
        <v>3</v>
      </c>
      <c r="E19" s="16" t="s">
        <v>117</v>
      </c>
      <c r="F19"/>
      <c r="G19" s="25"/>
      <c r="H19" s="26" t="s">
        <v>47</v>
      </c>
      <c r="I19" s="4">
        <f t="shared" si="0"/>
        <v>0.95399999999999996</v>
      </c>
      <c r="J19" s="5">
        <f t="shared" si="1"/>
        <v>0.95399999999999996</v>
      </c>
      <c r="K19" s="40" t="s">
        <v>3</v>
      </c>
      <c r="L19" s="16" t="s">
        <v>117</v>
      </c>
    </row>
    <row r="20" spans="1:15" x14ac:dyDescent="0.3">
      <c r="A20" s="4" t="s">
        <v>31</v>
      </c>
      <c r="B20" s="4">
        <v>0.95399999999999996</v>
      </c>
      <c r="C20" s="5">
        <f t="shared" si="2"/>
        <v>0.95399999999999996</v>
      </c>
      <c r="D20" s="16" t="s">
        <v>3</v>
      </c>
      <c r="E20" s="16" t="s">
        <v>117</v>
      </c>
      <c r="F20"/>
      <c r="G20" s="25"/>
      <c r="H20" s="26" t="s">
        <v>48</v>
      </c>
      <c r="I20" s="4">
        <f t="shared" si="0"/>
        <v>0.95399999999999996</v>
      </c>
      <c r="J20" s="5">
        <f t="shared" si="1"/>
        <v>0.95399999999999996</v>
      </c>
      <c r="K20" s="40" t="s">
        <v>3</v>
      </c>
      <c r="L20" s="16" t="s">
        <v>117</v>
      </c>
      <c r="N20" s="10"/>
      <c r="O20" s="10"/>
    </row>
    <row r="21" spans="1:15" ht="15" thickBot="1" x14ac:dyDescent="0.35">
      <c r="A21" s="6" t="s">
        <v>14</v>
      </c>
      <c r="B21" s="6">
        <v>5.4000000000000001E-4</v>
      </c>
      <c r="C21" s="8">
        <f t="shared" si="2"/>
        <v>5.4000000000000001E-4</v>
      </c>
      <c r="D21" s="15" t="s">
        <v>3</v>
      </c>
      <c r="E21" s="16" t="s">
        <v>117</v>
      </c>
      <c r="F21"/>
      <c r="G21" s="25"/>
      <c r="H21" s="26" t="s">
        <v>49</v>
      </c>
      <c r="I21" s="4">
        <f t="shared" si="0"/>
        <v>5.4000000000000001E-4</v>
      </c>
      <c r="J21" s="5">
        <f t="shared" si="1"/>
        <v>5.4000000000000001E-4</v>
      </c>
      <c r="K21" s="40" t="s">
        <v>3</v>
      </c>
      <c r="L21" s="16" t="s">
        <v>117</v>
      </c>
    </row>
    <row r="22" spans="1:15" x14ac:dyDescent="0.3">
      <c r="A22" s="4" t="s">
        <v>26</v>
      </c>
      <c r="B22" s="4">
        <f>ROUND(B62,-1)</f>
        <v>1940</v>
      </c>
      <c r="C22" s="5">
        <v>500</v>
      </c>
      <c r="D22" s="16" t="s">
        <v>38</v>
      </c>
      <c r="E22" t="s">
        <v>120</v>
      </c>
      <c r="F22"/>
      <c r="G22" s="28" t="s">
        <v>59</v>
      </c>
      <c r="H22" s="26" t="s">
        <v>40</v>
      </c>
      <c r="I22" s="4">
        <f t="shared" si="0"/>
        <v>1940</v>
      </c>
      <c r="J22" s="5">
        <f t="shared" si="1"/>
        <v>500</v>
      </c>
      <c r="K22" s="40" t="s">
        <v>93</v>
      </c>
      <c r="L22" t="s">
        <v>120</v>
      </c>
      <c r="N22" s="10"/>
      <c r="O22" s="10"/>
    </row>
    <row r="23" spans="1:15" x14ac:dyDescent="0.3">
      <c r="A23" s="4" t="s">
        <v>19</v>
      </c>
      <c r="B23" s="4">
        <v>0.02</v>
      </c>
      <c r="C23" s="5">
        <f>B23</f>
        <v>0.02</v>
      </c>
      <c r="D23" s="16" t="s">
        <v>3</v>
      </c>
      <c r="E23" s="16" t="s">
        <v>118</v>
      </c>
      <c r="F23"/>
      <c r="G23" s="29"/>
      <c r="H23" s="26" t="s">
        <v>41</v>
      </c>
      <c r="I23" s="4">
        <f t="shared" si="0"/>
        <v>0.02</v>
      </c>
      <c r="J23" s="5">
        <f t="shared" si="1"/>
        <v>0.02</v>
      </c>
      <c r="K23" s="40" t="s">
        <v>3</v>
      </c>
      <c r="L23" s="16" t="s">
        <v>118</v>
      </c>
      <c r="M23" s="1"/>
      <c r="N23" s="10"/>
      <c r="O23" s="10"/>
    </row>
    <row r="24" spans="1:15" x14ac:dyDescent="0.3">
      <c r="A24" s="4" t="s">
        <v>12</v>
      </c>
      <c r="B24" s="4">
        <v>7</v>
      </c>
      <c r="C24" s="5">
        <v>10</v>
      </c>
      <c r="D24" s="16" t="s">
        <v>2</v>
      </c>
      <c r="E24" t="s">
        <v>117</v>
      </c>
      <c r="F24"/>
      <c r="G24" s="29"/>
      <c r="H24" s="26" t="s">
        <v>43</v>
      </c>
      <c r="I24" s="4">
        <f t="shared" si="0"/>
        <v>7</v>
      </c>
      <c r="J24" s="5">
        <f t="shared" si="1"/>
        <v>10</v>
      </c>
      <c r="K24" s="40" t="s">
        <v>2</v>
      </c>
      <c r="L24" t="s">
        <v>117</v>
      </c>
      <c r="M24">
        <f>33/0.6</f>
        <v>55</v>
      </c>
      <c r="N24">
        <f>33/0.7</f>
        <v>47.142857142857146</v>
      </c>
    </row>
    <row r="25" spans="1:15" ht="15" thickBot="1" x14ac:dyDescent="0.35">
      <c r="A25" s="6" t="s">
        <v>7</v>
      </c>
      <c r="B25" s="4">
        <v>0.62</v>
      </c>
      <c r="C25" s="5">
        <v>0.7</v>
      </c>
      <c r="D25" s="15" t="s">
        <v>3</v>
      </c>
      <c r="E25" t="s">
        <v>117</v>
      </c>
      <c r="F25"/>
      <c r="G25" s="29"/>
      <c r="H25" s="26" t="s">
        <v>42</v>
      </c>
      <c r="I25" s="4">
        <f t="shared" si="0"/>
        <v>0.62</v>
      </c>
      <c r="J25" s="5">
        <f t="shared" si="1"/>
        <v>0.7</v>
      </c>
      <c r="K25" s="40" t="s">
        <v>3</v>
      </c>
      <c r="L25" t="s">
        <v>117</v>
      </c>
    </row>
    <row r="26" spans="1:15" ht="15" thickBot="1" x14ac:dyDescent="0.35">
      <c r="A26" s="4" t="s">
        <v>65</v>
      </c>
      <c r="B26" s="4">
        <v>20</v>
      </c>
      <c r="C26" s="5">
        <f>B26</f>
        <v>20</v>
      </c>
      <c r="D26" s="16" t="s">
        <v>2</v>
      </c>
      <c r="F26"/>
      <c r="G26" s="25" t="s">
        <v>60</v>
      </c>
      <c r="H26" s="26" t="s">
        <v>40</v>
      </c>
      <c r="I26" s="4">
        <f t="shared" ref="I26:I35" si="3">B27</f>
        <v>200</v>
      </c>
      <c r="J26" s="5">
        <f t="shared" ref="J26:J35" si="4">C27</f>
        <v>200</v>
      </c>
      <c r="K26" s="40" t="s">
        <v>39</v>
      </c>
      <c r="L26" s="16" t="s">
        <v>117</v>
      </c>
    </row>
    <row r="27" spans="1:15" x14ac:dyDescent="0.3">
      <c r="A27" s="2" t="s">
        <v>25</v>
      </c>
      <c r="B27" s="2">
        <v>200</v>
      </c>
      <c r="C27" s="9">
        <f>B27</f>
        <v>200</v>
      </c>
      <c r="D27" s="14" t="s">
        <v>37</v>
      </c>
      <c r="E27" t="s">
        <v>117</v>
      </c>
      <c r="F27"/>
      <c r="G27" s="25"/>
      <c r="H27" s="26" t="s">
        <v>41</v>
      </c>
      <c r="I27" s="4">
        <f t="shared" si="3"/>
        <v>0.02</v>
      </c>
      <c r="J27" s="5">
        <f t="shared" si="4"/>
        <v>0.02</v>
      </c>
      <c r="K27" s="40" t="s">
        <v>3</v>
      </c>
      <c r="L27" s="16" t="s">
        <v>117</v>
      </c>
    </row>
    <row r="28" spans="1:15" x14ac:dyDescent="0.3">
      <c r="A28" s="4" t="s">
        <v>20</v>
      </c>
      <c r="B28" s="4">
        <v>0.02</v>
      </c>
      <c r="C28" s="5">
        <f>B28</f>
        <v>0.02</v>
      </c>
      <c r="D28" s="16" t="s">
        <v>3</v>
      </c>
      <c r="E28" t="s">
        <v>117</v>
      </c>
      <c r="F28"/>
      <c r="G28" s="25"/>
      <c r="H28" s="26" t="s">
        <v>43</v>
      </c>
      <c r="I28" s="4">
        <f t="shared" si="3"/>
        <v>50</v>
      </c>
      <c r="J28" s="5">
        <f t="shared" si="4"/>
        <v>50</v>
      </c>
      <c r="K28" s="40" t="s">
        <v>2</v>
      </c>
      <c r="L28" s="16" t="s">
        <v>122</v>
      </c>
      <c r="M28" s="1"/>
    </row>
    <row r="29" spans="1:15" ht="15" thickBot="1" x14ac:dyDescent="0.35">
      <c r="A29" s="4" t="s">
        <v>13</v>
      </c>
      <c r="B29" s="4">
        <v>50</v>
      </c>
      <c r="C29" s="5">
        <v>50</v>
      </c>
      <c r="D29" s="16" t="s">
        <v>2</v>
      </c>
      <c r="E29" t="s">
        <v>122</v>
      </c>
      <c r="F29"/>
      <c r="G29" s="25" t="s">
        <v>61</v>
      </c>
      <c r="H29" s="26" t="s">
        <v>40</v>
      </c>
      <c r="I29" s="4">
        <f t="shared" si="3"/>
        <v>25.799999999999997</v>
      </c>
      <c r="J29" s="5">
        <f t="shared" si="4"/>
        <v>25.799999999999997</v>
      </c>
      <c r="K29" s="40" t="s">
        <v>91</v>
      </c>
      <c r="L29" s="16"/>
      <c r="M29" s="1"/>
    </row>
    <row r="30" spans="1:15" x14ac:dyDescent="0.3">
      <c r="A30" s="2" t="s">
        <v>104</v>
      </c>
      <c r="B30" s="2">
        <f>F30/(120/3.6)</f>
        <v>25.799999999999997</v>
      </c>
      <c r="C30" s="9">
        <f>B30</f>
        <v>25.799999999999997</v>
      </c>
      <c r="D30" s="14" t="s">
        <v>36</v>
      </c>
      <c r="E30" s="16" t="s">
        <v>117</v>
      </c>
      <c r="F30">
        <v>860</v>
      </c>
      <c r="G30" s="25"/>
      <c r="H30" s="26" t="s">
        <v>41</v>
      </c>
      <c r="I30" s="4">
        <f t="shared" si="3"/>
        <v>0.01</v>
      </c>
      <c r="J30" s="5">
        <f t="shared" si="4"/>
        <v>0.01</v>
      </c>
      <c r="K30" s="40" t="s">
        <v>3</v>
      </c>
      <c r="L30" s="16" t="s">
        <v>118</v>
      </c>
      <c r="N30">
        <f>120/36</f>
        <v>3.3333333333333335</v>
      </c>
    </row>
    <row r="31" spans="1:15" x14ac:dyDescent="0.3">
      <c r="A31" s="4" t="s">
        <v>105</v>
      </c>
      <c r="B31" s="4">
        <v>0.01</v>
      </c>
      <c r="C31" s="5">
        <f>B31</f>
        <v>0.01</v>
      </c>
      <c r="D31" s="16" t="s">
        <v>3</v>
      </c>
      <c r="E31" s="16" t="s">
        <v>118</v>
      </c>
      <c r="F31"/>
      <c r="G31" s="25"/>
      <c r="H31" s="26" t="s">
        <v>43</v>
      </c>
      <c r="I31" s="4">
        <f t="shared" si="3"/>
        <v>20</v>
      </c>
      <c r="J31" s="5">
        <f t="shared" si="4"/>
        <v>25</v>
      </c>
      <c r="K31" s="40" t="s">
        <v>2</v>
      </c>
      <c r="L31" s="16" t="s">
        <v>117</v>
      </c>
    </row>
    <row r="32" spans="1:15" x14ac:dyDescent="0.3">
      <c r="A32" s="4" t="s">
        <v>106</v>
      </c>
      <c r="B32" s="4">
        <v>20</v>
      </c>
      <c r="C32" s="5">
        <v>25</v>
      </c>
      <c r="D32" s="16" t="s">
        <v>2</v>
      </c>
      <c r="E32" s="16" t="s">
        <v>117</v>
      </c>
      <c r="F32"/>
      <c r="G32" s="25"/>
      <c r="H32" s="26" t="s">
        <v>55</v>
      </c>
      <c r="I32" s="4">
        <f t="shared" si="3"/>
        <v>4</v>
      </c>
      <c r="J32" s="5">
        <f t="shared" si="4"/>
        <v>4</v>
      </c>
      <c r="K32" s="40" t="s">
        <v>32</v>
      </c>
      <c r="L32" s="16" t="s">
        <v>117</v>
      </c>
    </row>
    <row r="33" spans="1:15" ht="15" thickBot="1" x14ac:dyDescent="0.35">
      <c r="A33" s="6" t="s">
        <v>107</v>
      </c>
      <c r="B33" s="6">
        <v>4</v>
      </c>
      <c r="C33" s="8">
        <f>B33</f>
        <v>4</v>
      </c>
      <c r="D33" s="15" t="s">
        <v>32</v>
      </c>
      <c r="E33" s="16" t="s">
        <v>117</v>
      </c>
      <c r="F33"/>
      <c r="G33" s="25" t="s">
        <v>76</v>
      </c>
      <c r="H33" s="26" t="s">
        <v>40</v>
      </c>
      <c r="I33" s="4">
        <f t="shared" si="3"/>
        <v>8600</v>
      </c>
      <c r="J33" s="5">
        <f t="shared" si="4"/>
        <v>4300</v>
      </c>
      <c r="K33" s="40" t="s">
        <v>97</v>
      </c>
      <c r="L33" s="16"/>
    </row>
    <row r="34" spans="1:15" x14ac:dyDescent="0.3">
      <c r="A34" s="2" t="s">
        <v>66</v>
      </c>
      <c r="B34" s="20">
        <f>B58</f>
        <v>8600</v>
      </c>
      <c r="C34" s="21">
        <f>ROUND(B34/2,-1)</f>
        <v>4300</v>
      </c>
      <c r="D34" s="14" t="s">
        <v>77</v>
      </c>
      <c r="E34" s="16"/>
      <c r="F34"/>
      <c r="G34" s="25"/>
      <c r="H34" s="26" t="s">
        <v>41</v>
      </c>
      <c r="I34" s="4">
        <f t="shared" si="3"/>
        <v>0.03</v>
      </c>
      <c r="J34" s="5">
        <f t="shared" si="4"/>
        <v>0.03</v>
      </c>
      <c r="K34" s="40" t="s">
        <v>3</v>
      </c>
      <c r="L34" s="16"/>
      <c r="M34" s="1"/>
      <c r="N34" s="10"/>
      <c r="O34" s="10"/>
    </row>
    <row r="35" spans="1:15" x14ac:dyDescent="0.3">
      <c r="A35" s="4" t="s">
        <v>67</v>
      </c>
      <c r="B35" s="4">
        <v>0.03</v>
      </c>
      <c r="C35" s="5">
        <f>B35</f>
        <v>0.03</v>
      </c>
      <c r="D35" s="16" t="s">
        <v>3</v>
      </c>
      <c r="E35" s="16"/>
      <c r="F35"/>
      <c r="G35" s="25"/>
      <c r="H35" s="26" t="s">
        <v>43</v>
      </c>
      <c r="I35" s="4">
        <f t="shared" si="3"/>
        <v>30</v>
      </c>
      <c r="J35" s="5">
        <f t="shared" si="4"/>
        <v>30</v>
      </c>
      <c r="K35" s="40" t="s">
        <v>3</v>
      </c>
      <c r="L35" s="16"/>
    </row>
    <row r="36" spans="1:15" x14ac:dyDescent="0.3">
      <c r="A36" s="4" t="s">
        <v>68</v>
      </c>
      <c r="B36" s="4">
        <v>30</v>
      </c>
      <c r="C36" s="5">
        <f>B36</f>
        <v>30</v>
      </c>
      <c r="D36" s="16" t="s">
        <v>3</v>
      </c>
      <c r="E36" s="16"/>
      <c r="F36"/>
      <c r="G36" s="38"/>
      <c r="H36" s="26" t="s">
        <v>111</v>
      </c>
      <c r="I36" s="4">
        <f>B40</f>
        <v>0.3</v>
      </c>
      <c r="J36" s="5">
        <f>C40</f>
        <v>0.2</v>
      </c>
      <c r="K36" s="16" t="s">
        <v>3</v>
      </c>
      <c r="L36" s="16"/>
    </row>
    <row r="37" spans="1:15" x14ac:dyDescent="0.3">
      <c r="A37" s="4" t="s">
        <v>69</v>
      </c>
      <c r="B37" s="4">
        <v>2</v>
      </c>
      <c r="C37" s="5">
        <f>B37</f>
        <v>2</v>
      </c>
      <c r="D37" s="16" t="s">
        <v>32</v>
      </c>
      <c r="E37" s="16"/>
      <c r="F37"/>
      <c r="G37" s="25"/>
      <c r="H37" s="26" t="s">
        <v>112</v>
      </c>
      <c r="I37" s="4">
        <f>B42</f>
        <v>0.1764</v>
      </c>
      <c r="J37" s="5">
        <f>C42</f>
        <v>0.1764</v>
      </c>
      <c r="K37" s="40" t="s">
        <v>96</v>
      </c>
      <c r="L37" s="16" t="s">
        <v>121</v>
      </c>
    </row>
    <row r="38" spans="1:15" ht="15.6" x14ac:dyDescent="0.35">
      <c r="A38" s="4" t="s">
        <v>70</v>
      </c>
      <c r="B38" s="4">
        <v>5</v>
      </c>
      <c r="C38" s="5">
        <v>5</v>
      </c>
      <c r="D38" s="16" t="s">
        <v>32</v>
      </c>
      <c r="E38" s="16"/>
      <c r="F38"/>
      <c r="G38" s="25"/>
      <c r="H38" s="26" t="s">
        <v>103</v>
      </c>
      <c r="I38" s="4">
        <f>B43</f>
        <v>0.55600000000000005</v>
      </c>
      <c r="J38" s="5">
        <v>0.4</v>
      </c>
      <c r="K38" s="40" t="s">
        <v>95</v>
      </c>
      <c r="L38" s="16" t="s">
        <v>122</v>
      </c>
    </row>
    <row r="39" spans="1:15" ht="15" thickBot="1" x14ac:dyDescent="0.35">
      <c r="A39" s="4" t="s">
        <v>71</v>
      </c>
      <c r="B39" s="4">
        <v>5</v>
      </c>
      <c r="C39" s="5">
        <v>5</v>
      </c>
      <c r="D39" s="16" t="s">
        <v>32</v>
      </c>
      <c r="E39" s="16"/>
      <c r="F39"/>
      <c r="G39" s="30"/>
      <c r="H39" s="31" t="s">
        <v>85</v>
      </c>
      <c r="I39" s="6">
        <f>B48</f>
        <v>0.82299999999999995</v>
      </c>
      <c r="J39" s="8">
        <f>C48</f>
        <v>0.82299999999999995</v>
      </c>
      <c r="K39" s="41" t="s">
        <v>102</v>
      </c>
      <c r="L39" s="16"/>
      <c r="M39" s="1"/>
    </row>
    <row r="40" spans="1:15" x14ac:dyDescent="0.3">
      <c r="A40" s="4" t="s">
        <v>72</v>
      </c>
      <c r="B40" s="4">
        <v>0.3</v>
      </c>
      <c r="C40" s="5">
        <v>0.2</v>
      </c>
      <c r="D40" s="16" t="s">
        <v>3</v>
      </c>
      <c r="E40" s="16"/>
      <c r="F40"/>
      <c r="G40" s="22" t="s">
        <v>86</v>
      </c>
      <c r="H40" s="23" t="s">
        <v>40</v>
      </c>
      <c r="I40" s="2">
        <f>B44</f>
        <v>1720</v>
      </c>
      <c r="J40" s="9">
        <f t="shared" ref="J40:J43" si="5">C44</f>
        <v>860</v>
      </c>
      <c r="K40" s="24" t="s">
        <v>98</v>
      </c>
      <c r="L40" s="16"/>
    </row>
    <row r="41" spans="1:15" x14ac:dyDescent="0.3">
      <c r="A41" s="4" t="s">
        <v>79</v>
      </c>
      <c r="B41" s="4">
        <v>1</v>
      </c>
      <c r="C41" s="5">
        <f>B41</f>
        <v>1</v>
      </c>
      <c r="D41" s="16" t="s">
        <v>80</v>
      </c>
      <c r="F41"/>
      <c r="G41" s="25"/>
      <c r="H41" s="26" t="s">
        <v>41</v>
      </c>
      <c r="I41" s="4">
        <f>B45</f>
        <v>0.02</v>
      </c>
      <c r="J41" s="5">
        <f t="shared" si="5"/>
        <v>0.02</v>
      </c>
      <c r="K41" s="27" t="s">
        <v>3</v>
      </c>
      <c r="L41" s="16" t="s">
        <v>119</v>
      </c>
    </row>
    <row r="42" spans="1:15" x14ac:dyDescent="0.3">
      <c r="A42" s="4" t="s">
        <v>108</v>
      </c>
      <c r="B42" s="4">
        <f>ROUND(1/5.67,4)</f>
        <v>0.1764</v>
      </c>
      <c r="C42" s="5">
        <f>B42</f>
        <v>0.1764</v>
      </c>
      <c r="D42" s="16" t="s">
        <v>92</v>
      </c>
      <c r="E42" t="s">
        <v>121</v>
      </c>
      <c r="F42"/>
      <c r="G42" s="25"/>
      <c r="H42" s="26" t="s">
        <v>43</v>
      </c>
      <c r="I42" s="4">
        <f>B46</f>
        <v>25</v>
      </c>
      <c r="J42" s="5">
        <f t="shared" si="5"/>
        <v>25</v>
      </c>
      <c r="K42" s="27" t="s">
        <v>2</v>
      </c>
      <c r="L42" s="16" t="s">
        <v>119</v>
      </c>
    </row>
    <row r="43" spans="1:15" ht="15" thickBot="1" x14ac:dyDescent="0.35">
      <c r="A43" s="4" t="s">
        <v>109</v>
      </c>
      <c r="B43" s="6">
        <v>0.55600000000000005</v>
      </c>
      <c r="C43" s="5">
        <v>0.4</v>
      </c>
      <c r="D43" s="16" t="s">
        <v>88</v>
      </c>
      <c r="E43" s="16" t="s">
        <v>122</v>
      </c>
      <c r="F43"/>
      <c r="G43" s="35"/>
      <c r="H43" s="36" t="s">
        <v>84</v>
      </c>
      <c r="I43" s="6">
        <f>B47</f>
        <v>0.56299999999999994</v>
      </c>
      <c r="J43" s="8">
        <f t="shared" si="5"/>
        <v>0.56299999999999994</v>
      </c>
      <c r="K43" s="37" t="s">
        <v>99</v>
      </c>
      <c r="L43" s="15" t="s">
        <v>122</v>
      </c>
    </row>
    <row r="44" spans="1:15" x14ac:dyDescent="0.3">
      <c r="A44" s="2" t="s">
        <v>73</v>
      </c>
      <c r="B44">
        <f>0.2*B34</f>
        <v>1720</v>
      </c>
      <c r="C44">
        <f>ROUND(0.2*C34,-1)</f>
        <v>860</v>
      </c>
      <c r="D44" s="14" t="s">
        <v>100</v>
      </c>
      <c r="E44" t="s">
        <v>158</v>
      </c>
    </row>
    <row r="45" spans="1:15" x14ac:dyDescent="0.3">
      <c r="A45" s="4" t="s">
        <v>74</v>
      </c>
      <c r="B45">
        <v>0.02</v>
      </c>
      <c r="C45">
        <v>0.02</v>
      </c>
      <c r="D45" s="16" t="s">
        <v>3</v>
      </c>
      <c r="E45" t="s">
        <v>119</v>
      </c>
    </row>
    <row r="46" spans="1:15" ht="15" thickBot="1" x14ac:dyDescent="0.35">
      <c r="A46" s="6" t="s">
        <v>75</v>
      </c>
      <c r="B46" s="7">
        <v>25</v>
      </c>
      <c r="C46" s="7">
        <f>B46</f>
        <v>25</v>
      </c>
      <c r="D46" s="15" t="s">
        <v>2</v>
      </c>
    </row>
    <row r="47" spans="1:15" x14ac:dyDescent="0.3">
      <c r="A47" s="2" t="s">
        <v>78</v>
      </c>
      <c r="B47" s="3">
        <f>ROUND(0.562816369720021,3)</f>
        <v>0.56299999999999994</v>
      </c>
      <c r="C47" s="3">
        <f>B47</f>
        <v>0.56299999999999994</v>
      </c>
      <c r="D47" s="14" t="s">
        <v>101</v>
      </c>
      <c r="E47" t="s">
        <v>122</v>
      </c>
      <c r="F47"/>
      <c r="G47"/>
    </row>
    <row r="48" spans="1:15" ht="15" thickBot="1" x14ac:dyDescent="0.35">
      <c r="A48" s="6" t="s">
        <v>110</v>
      </c>
      <c r="B48" s="7">
        <v>0.82299999999999995</v>
      </c>
      <c r="C48" s="7">
        <f>B48</f>
        <v>0.82299999999999995</v>
      </c>
      <c r="D48" s="8" t="s">
        <v>89</v>
      </c>
      <c r="E48" t="s">
        <v>122</v>
      </c>
      <c r="F48"/>
      <c r="G48"/>
    </row>
    <row r="49" spans="1:8" x14ac:dyDescent="0.3">
      <c r="F49"/>
      <c r="G49" s="10"/>
    </row>
    <row r="50" spans="1:8" x14ac:dyDescent="0.3">
      <c r="G50"/>
    </row>
    <row r="51" spans="1:8" x14ac:dyDescent="0.3">
      <c r="F51"/>
      <c r="G51" s="12"/>
      <c r="H51" s="12"/>
    </row>
    <row r="52" spans="1:8" ht="15" thickBot="1" x14ac:dyDescent="0.35">
      <c r="A52" t="s">
        <v>81</v>
      </c>
      <c r="B52" s="12"/>
      <c r="F52" s="12"/>
    </row>
    <row r="53" spans="1:8" x14ac:dyDescent="0.3">
      <c r="A53" s="2">
        <f>130.44 / 105.418</f>
        <v>1.2373598436699613</v>
      </c>
      <c r="B53" s="9" t="s">
        <v>82</v>
      </c>
      <c r="F53"/>
      <c r="G53"/>
    </row>
    <row r="54" spans="1:8" ht="15" thickBot="1" x14ac:dyDescent="0.35">
      <c r="A54" s="19">
        <v>4192</v>
      </c>
      <c r="B54" s="8" t="s">
        <v>90</v>
      </c>
      <c r="F54"/>
      <c r="G54"/>
      <c r="H54" s="13"/>
    </row>
    <row r="55" spans="1:8" x14ac:dyDescent="0.3">
      <c r="B55">
        <f>20*365</f>
        <v>7300</v>
      </c>
      <c r="F55"/>
      <c r="G55"/>
    </row>
    <row r="56" spans="1:8" x14ac:dyDescent="0.3">
      <c r="B56">
        <v>4935</v>
      </c>
      <c r="F56"/>
      <c r="G56"/>
    </row>
    <row r="57" spans="1:8" x14ac:dyDescent="0.3">
      <c r="B57">
        <v>10000</v>
      </c>
      <c r="F57"/>
      <c r="G57"/>
    </row>
    <row r="58" spans="1:8" ht="15" thickBot="1" x14ac:dyDescent="0.35">
      <c r="B58">
        <f>B57*E1</f>
        <v>8600</v>
      </c>
      <c r="F58"/>
      <c r="G58"/>
    </row>
    <row r="59" spans="1:8" x14ac:dyDescent="0.3">
      <c r="A59" s="2" t="s">
        <v>116</v>
      </c>
      <c r="B59" s="9">
        <v>1.2518</v>
      </c>
      <c r="F59"/>
      <c r="G59"/>
    </row>
    <row r="60" spans="1:8" x14ac:dyDescent="0.3">
      <c r="A60" s="4" t="s">
        <v>113</v>
      </c>
      <c r="B60" s="5">
        <v>1800</v>
      </c>
      <c r="F60"/>
      <c r="G60"/>
    </row>
    <row r="61" spans="1:8" x14ac:dyDescent="0.3">
      <c r="A61" s="4" t="s">
        <v>114</v>
      </c>
      <c r="B61" s="5">
        <f>B60*B59</f>
        <v>2253.2400000000002</v>
      </c>
      <c r="F61"/>
      <c r="G61"/>
    </row>
    <row r="62" spans="1:8" ht="15" thickBot="1" x14ac:dyDescent="0.35">
      <c r="A62" s="6" t="s">
        <v>115</v>
      </c>
      <c r="B62" s="8">
        <f>B61*E1</f>
        <v>1937.7864000000002</v>
      </c>
      <c r="F62"/>
      <c r="G62"/>
    </row>
    <row r="63" spans="1:8" x14ac:dyDescent="0.3">
      <c r="F63"/>
      <c r="G63"/>
    </row>
    <row r="64" spans="1:8" x14ac:dyDescent="0.3">
      <c r="F64"/>
      <c r="G64"/>
    </row>
    <row r="65" spans="6:7" x14ac:dyDescent="0.3">
      <c r="F65"/>
      <c r="G65"/>
    </row>
    <row r="66" spans="6:7" x14ac:dyDescent="0.3">
      <c r="F66"/>
      <c r="G66"/>
    </row>
    <row r="67" spans="6:7" x14ac:dyDescent="0.3">
      <c r="F67"/>
      <c r="G67"/>
    </row>
    <row r="68" spans="6:7" x14ac:dyDescent="0.3">
      <c r="F68"/>
      <c r="G68"/>
    </row>
    <row r="69" spans="6:7" x14ac:dyDescent="0.3">
      <c r="F69"/>
      <c r="G69"/>
    </row>
    <row r="70" spans="6:7" x14ac:dyDescent="0.3">
      <c r="F70"/>
      <c r="G70"/>
    </row>
    <row r="71" spans="6:7" x14ac:dyDescent="0.3">
      <c r="F71"/>
      <c r="G71"/>
    </row>
    <row r="72" spans="6:7" x14ac:dyDescent="0.3">
      <c r="F72"/>
      <c r="G72"/>
    </row>
    <row r="73" spans="6:7" x14ac:dyDescent="0.3">
      <c r="F73"/>
      <c r="G73"/>
    </row>
    <row r="74" spans="6:7" x14ac:dyDescent="0.3">
      <c r="F74"/>
      <c r="G74"/>
    </row>
    <row r="75" spans="6:7" x14ac:dyDescent="0.3">
      <c r="F75"/>
      <c r="G75"/>
    </row>
    <row r="76" spans="6:7" x14ac:dyDescent="0.3">
      <c r="F76"/>
      <c r="G76"/>
    </row>
    <row r="77" spans="6:7" x14ac:dyDescent="0.3">
      <c r="F77"/>
      <c r="G77"/>
    </row>
    <row r="85" spans="6:7" x14ac:dyDescent="0.3">
      <c r="F85" s="44"/>
      <c r="G85" s="44"/>
    </row>
    <row r="86" spans="6:7" x14ac:dyDescent="0.3">
      <c r="F86" s="44"/>
      <c r="G86" s="44"/>
    </row>
    <row r="87" spans="6:7" x14ac:dyDescent="0.3">
      <c r="F87" s="44"/>
      <c r="G87" s="44"/>
    </row>
    <row r="88" spans="6:7" x14ac:dyDescent="0.3">
      <c r="F88" s="44"/>
      <c r="G88" s="44"/>
    </row>
    <row r="89" spans="6:7" x14ac:dyDescent="0.3">
      <c r="F89" s="44"/>
      <c r="G89" s="44"/>
    </row>
    <row r="90" spans="6:7" x14ac:dyDescent="0.3">
      <c r="F90" s="44"/>
      <c r="G90" s="44"/>
    </row>
    <row r="91" spans="6:7" x14ac:dyDescent="0.3">
      <c r="F91" s="44"/>
      <c r="G91" s="44"/>
    </row>
    <row r="92" spans="6:7" x14ac:dyDescent="0.3">
      <c r="F92" s="44"/>
      <c r="G92" s="44"/>
    </row>
    <row r="93" spans="6:7" x14ac:dyDescent="0.3">
      <c r="F93" s="44"/>
      <c r="G93" s="44"/>
    </row>
    <row r="94" spans="6:7" x14ac:dyDescent="0.3">
      <c r="F94" s="44"/>
      <c r="G94" s="44"/>
    </row>
    <row r="95" spans="6:7" x14ac:dyDescent="0.3">
      <c r="F95" s="44"/>
      <c r="G95" s="44"/>
    </row>
    <row r="96" spans="6:7" x14ac:dyDescent="0.3">
      <c r="F96" s="44"/>
      <c r="G96" s="44"/>
    </row>
    <row r="97" spans="6:7" x14ac:dyDescent="0.3">
      <c r="F97" s="44"/>
      <c r="G97" s="44"/>
    </row>
    <row r="98" spans="6:7" x14ac:dyDescent="0.3">
      <c r="F98" s="44"/>
      <c r="G98" s="44"/>
    </row>
    <row r="99" spans="6:7" x14ac:dyDescent="0.3">
      <c r="F99" s="44"/>
      <c r="G99" s="44"/>
    </row>
    <row r="100" spans="6:7" x14ac:dyDescent="0.3">
      <c r="F100" s="44"/>
      <c r="G100" s="44"/>
    </row>
    <row r="101" spans="6:7" x14ac:dyDescent="0.3">
      <c r="F101" s="44"/>
      <c r="G101" s="44"/>
    </row>
    <row r="102" spans="6:7" x14ac:dyDescent="0.3">
      <c r="F102" s="44"/>
      <c r="G102" s="44"/>
    </row>
    <row r="103" spans="6:7" x14ac:dyDescent="0.3">
      <c r="F103" s="44"/>
      <c r="G103" s="44"/>
    </row>
    <row r="104" spans="6:7" x14ac:dyDescent="0.3">
      <c r="F104" s="44"/>
      <c r="G104" s="44"/>
    </row>
    <row r="105" spans="6:7" x14ac:dyDescent="0.3">
      <c r="F105" s="44"/>
      <c r="G105" s="44"/>
    </row>
    <row r="106" spans="6:7" x14ac:dyDescent="0.3">
      <c r="F106" s="44"/>
      <c r="G106" s="44"/>
    </row>
    <row r="107" spans="6:7" x14ac:dyDescent="0.3">
      <c r="F107" s="44"/>
      <c r="G107" s="44"/>
    </row>
    <row r="108" spans="6:7" x14ac:dyDescent="0.3">
      <c r="F108" s="44"/>
      <c r="G108" s="44"/>
    </row>
    <row r="109" spans="6:7" x14ac:dyDescent="0.3">
      <c r="F109" s="44"/>
      <c r="G109" s="44"/>
    </row>
    <row r="110" spans="6:7" x14ac:dyDescent="0.3">
      <c r="F110" s="44"/>
      <c r="G110" s="44"/>
    </row>
    <row r="111" spans="6:7" x14ac:dyDescent="0.3">
      <c r="F111" s="44"/>
      <c r="G111" s="44"/>
    </row>
    <row r="112" spans="6:7" x14ac:dyDescent="0.3">
      <c r="F112" s="44"/>
      <c r="G112" s="44"/>
    </row>
    <row r="113" spans="6:7" x14ac:dyDescent="0.3">
      <c r="F113" s="44"/>
      <c r="G113" s="44"/>
    </row>
    <row r="114" spans="6:7" x14ac:dyDescent="0.3">
      <c r="F114" s="44"/>
      <c r="G114" s="44"/>
    </row>
    <row r="115" spans="6:7" x14ac:dyDescent="0.3">
      <c r="F115" s="44"/>
      <c r="G115" s="44"/>
    </row>
    <row r="116" spans="6:7" x14ac:dyDescent="0.3">
      <c r="F116" s="44"/>
      <c r="G116" s="44"/>
    </row>
    <row r="117" spans="6:7" x14ac:dyDescent="0.3">
      <c r="F117" s="44"/>
      <c r="G117" s="44"/>
    </row>
    <row r="118" spans="6:7" x14ac:dyDescent="0.3">
      <c r="F118" s="44"/>
      <c r="G118" s="44"/>
    </row>
    <row r="119" spans="6:7" x14ac:dyDescent="0.3">
      <c r="F119" s="44"/>
      <c r="G119" s="44"/>
    </row>
    <row r="120" spans="6:7" x14ac:dyDescent="0.3">
      <c r="F120" s="44"/>
      <c r="G120" s="44"/>
    </row>
    <row r="121" spans="6:7" x14ac:dyDescent="0.3">
      <c r="F121" s="44"/>
      <c r="G121" s="44"/>
    </row>
    <row r="122" spans="6:7" x14ac:dyDescent="0.3">
      <c r="F122"/>
      <c r="G122"/>
    </row>
    <row r="123" spans="6:7" x14ac:dyDescent="0.3">
      <c r="F123"/>
      <c r="G123"/>
    </row>
    <row r="124" spans="6:7" x14ac:dyDescent="0.3">
      <c r="F124"/>
      <c r="G124"/>
    </row>
    <row r="125" spans="6:7" x14ac:dyDescent="0.3">
      <c r="F125"/>
      <c r="G125"/>
    </row>
    <row r="126" spans="6:7" x14ac:dyDescent="0.3">
      <c r="F126"/>
      <c r="G126"/>
    </row>
    <row r="127" spans="6:7" x14ac:dyDescent="0.3">
      <c r="F127"/>
      <c r="G127"/>
    </row>
    <row r="128" spans="6:7" x14ac:dyDescent="0.3">
      <c r="F128"/>
      <c r="G128"/>
    </row>
    <row r="129" spans="6:7" x14ac:dyDescent="0.3">
      <c r="F129"/>
      <c r="G129"/>
    </row>
    <row r="130" spans="6:7" x14ac:dyDescent="0.3">
      <c r="F130"/>
      <c r="G130"/>
    </row>
    <row r="131" spans="6:7" x14ac:dyDescent="0.3">
      <c r="F131"/>
      <c r="G131"/>
    </row>
    <row r="132" spans="6:7" x14ac:dyDescent="0.3">
      <c r="F132"/>
      <c r="G132"/>
    </row>
    <row r="133" spans="6:7" x14ac:dyDescent="0.3">
      <c r="F133"/>
      <c r="G133"/>
    </row>
    <row r="134" spans="6:7" x14ac:dyDescent="0.3">
      <c r="F134"/>
      <c r="G134"/>
    </row>
    <row r="135" spans="6:7" x14ac:dyDescent="0.3">
      <c r="F135"/>
      <c r="G135"/>
    </row>
    <row r="136" spans="6:7" x14ac:dyDescent="0.3">
      <c r="F136"/>
      <c r="G136"/>
    </row>
    <row r="137" spans="6:7" x14ac:dyDescent="0.3">
      <c r="F137"/>
      <c r="G137"/>
    </row>
    <row r="138" spans="6:7" x14ac:dyDescent="0.3">
      <c r="F138"/>
      <c r="G138"/>
    </row>
    <row r="139" spans="6:7" x14ac:dyDescent="0.3">
      <c r="F139"/>
      <c r="G139"/>
    </row>
    <row r="140" spans="6:7" x14ac:dyDescent="0.3">
      <c r="F140"/>
      <c r="G140"/>
    </row>
    <row r="141" spans="6:7" x14ac:dyDescent="0.3">
      <c r="F141"/>
      <c r="G141"/>
    </row>
    <row r="142" spans="6:7" x14ac:dyDescent="0.3">
      <c r="F142"/>
      <c r="G142"/>
    </row>
    <row r="143" spans="6:7" x14ac:dyDescent="0.3">
      <c r="F143"/>
      <c r="G143"/>
    </row>
    <row r="144" spans="6:7" x14ac:dyDescent="0.3">
      <c r="F144"/>
      <c r="G144"/>
    </row>
    <row r="145" spans="6:7" x14ac:dyDescent="0.3">
      <c r="F145"/>
      <c r="G145"/>
    </row>
    <row r="146" spans="6:7" x14ac:dyDescent="0.3">
      <c r="F146"/>
      <c r="G146"/>
    </row>
    <row r="147" spans="6:7" x14ac:dyDescent="0.3">
      <c r="F147"/>
      <c r="G147"/>
    </row>
    <row r="148" spans="6:7" x14ac:dyDescent="0.3">
      <c r="F148"/>
      <c r="G148"/>
    </row>
    <row r="149" spans="6:7" x14ac:dyDescent="0.3">
      <c r="F149"/>
      <c r="G149"/>
    </row>
    <row r="150" spans="6:7" x14ac:dyDescent="0.3">
      <c r="F150"/>
      <c r="G150"/>
    </row>
    <row r="151" spans="6:7" x14ac:dyDescent="0.3">
      <c r="F151"/>
      <c r="G151"/>
    </row>
    <row r="152" spans="6:7" x14ac:dyDescent="0.3">
      <c r="F152"/>
      <c r="G152"/>
    </row>
    <row r="153" spans="6:7" x14ac:dyDescent="0.3">
      <c r="F153"/>
      <c r="G153"/>
    </row>
    <row r="154" spans="6:7" x14ac:dyDescent="0.3">
      <c r="F154"/>
      <c r="G154"/>
    </row>
    <row r="155" spans="6:7" x14ac:dyDescent="0.3">
      <c r="F155"/>
      <c r="G155"/>
    </row>
    <row r="156" spans="6:7" x14ac:dyDescent="0.3">
      <c r="F156"/>
      <c r="G156"/>
    </row>
    <row r="157" spans="6:7" x14ac:dyDescent="0.3">
      <c r="F157"/>
      <c r="G157"/>
    </row>
    <row r="158" spans="6:7" x14ac:dyDescent="0.3">
      <c r="F158"/>
      <c r="G158"/>
    </row>
    <row r="159" spans="6:7" x14ac:dyDescent="0.3">
      <c r="F159"/>
      <c r="G159"/>
    </row>
    <row r="160" spans="6:7" x14ac:dyDescent="0.3">
      <c r="F160"/>
      <c r="G160"/>
    </row>
    <row r="161" spans="6:7" x14ac:dyDescent="0.3">
      <c r="F161"/>
      <c r="G161"/>
    </row>
    <row r="162" spans="6:7" x14ac:dyDescent="0.3">
      <c r="F162"/>
      <c r="G162"/>
    </row>
    <row r="163" spans="6:7" x14ac:dyDescent="0.3">
      <c r="F163"/>
      <c r="G163"/>
    </row>
    <row r="164" spans="6:7" x14ac:dyDescent="0.3">
      <c r="F164"/>
      <c r="G164"/>
    </row>
    <row r="165" spans="6:7" x14ac:dyDescent="0.3">
      <c r="F165"/>
      <c r="G165"/>
    </row>
    <row r="166" spans="6:7" x14ac:dyDescent="0.3">
      <c r="F166"/>
      <c r="G166"/>
    </row>
    <row r="167" spans="6:7" x14ac:dyDescent="0.3">
      <c r="F167"/>
      <c r="G167"/>
    </row>
    <row r="168" spans="6:7" x14ac:dyDescent="0.3">
      <c r="F168"/>
      <c r="G168"/>
    </row>
    <row r="169" spans="6:7" x14ac:dyDescent="0.3">
      <c r="F169"/>
      <c r="G169"/>
    </row>
    <row r="170" spans="6:7" x14ac:dyDescent="0.3">
      <c r="F170"/>
      <c r="G170"/>
    </row>
    <row r="171" spans="6:7" x14ac:dyDescent="0.3">
      <c r="F171"/>
      <c r="G171"/>
    </row>
    <row r="172" spans="6:7" x14ac:dyDescent="0.3">
      <c r="F172"/>
      <c r="G172"/>
    </row>
    <row r="173" spans="6:7" x14ac:dyDescent="0.3">
      <c r="F173"/>
      <c r="G173"/>
    </row>
    <row r="174" spans="6:7" x14ac:dyDescent="0.3">
      <c r="F174"/>
      <c r="G174"/>
    </row>
    <row r="175" spans="6:7" x14ac:dyDescent="0.3">
      <c r="F175"/>
      <c r="G175"/>
    </row>
    <row r="176" spans="6:7" x14ac:dyDescent="0.3">
      <c r="F176"/>
      <c r="G176"/>
    </row>
    <row r="177" spans="6:7" x14ac:dyDescent="0.3">
      <c r="F177"/>
      <c r="G177"/>
    </row>
    <row r="178" spans="6:7" x14ac:dyDescent="0.3">
      <c r="F178"/>
      <c r="G178"/>
    </row>
    <row r="179" spans="6:7" x14ac:dyDescent="0.3">
      <c r="F179"/>
      <c r="G179"/>
    </row>
    <row r="180" spans="6:7" x14ac:dyDescent="0.3">
      <c r="F180"/>
      <c r="G180"/>
    </row>
    <row r="181" spans="6:7" x14ac:dyDescent="0.3">
      <c r="F181"/>
      <c r="G181"/>
    </row>
    <row r="182" spans="6:7" x14ac:dyDescent="0.3">
      <c r="F182"/>
      <c r="G182"/>
    </row>
    <row r="183" spans="6:7" x14ac:dyDescent="0.3">
      <c r="F183"/>
      <c r="G183"/>
    </row>
    <row r="184" spans="6:7" x14ac:dyDescent="0.3">
      <c r="F184"/>
      <c r="G184"/>
    </row>
    <row r="185" spans="6:7" x14ac:dyDescent="0.3">
      <c r="F185"/>
      <c r="G185"/>
    </row>
    <row r="186" spans="6:7" x14ac:dyDescent="0.3">
      <c r="F186"/>
      <c r="G186"/>
    </row>
    <row r="187" spans="6:7" x14ac:dyDescent="0.3">
      <c r="F187"/>
      <c r="G187"/>
    </row>
    <row r="188" spans="6:7" x14ac:dyDescent="0.3">
      <c r="F188"/>
      <c r="G188"/>
    </row>
    <row r="189" spans="6:7" x14ac:dyDescent="0.3">
      <c r="F189"/>
      <c r="G189"/>
    </row>
    <row r="190" spans="6:7" x14ac:dyDescent="0.3">
      <c r="F190"/>
      <c r="G190"/>
    </row>
    <row r="191" spans="6:7" x14ac:dyDescent="0.3">
      <c r="F191"/>
      <c r="G191"/>
    </row>
    <row r="192" spans="6:7" x14ac:dyDescent="0.3">
      <c r="F192"/>
      <c r="G192"/>
    </row>
    <row r="193" spans="6:7" x14ac:dyDescent="0.3">
      <c r="F193"/>
      <c r="G193"/>
    </row>
    <row r="194" spans="6:7" x14ac:dyDescent="0.3">
      <c r="F194"/>
      <c r="G194"/>
    </row>
    <row r="195" spans="6:7" x14ac:dyDescent="0.3">
      <c r="F195"/>
      <c r="G195"/>
    </row>
    <row r="196" spans="6:7" x14ac:dyDescent="0.3">
      <c r="F196"/>
      <c r="G196"/>
    </row>
    <row r="197" spans="6:7" x14ac:dyDescent="0.3">
      <c r="F197"/>
      <c r="G197"/>
    </row>
    <row r="198" spans="6:7" x14ac:dyDescent="0.3">
      <c r="F198"/>
      <c r="G198"/>
    </row>
    <row r="199" spans="6:7" x14ac:dyDescent="0.3">
      <c r="F199"/>
      <c r="G199"/>
    </row>
    <row r="200" spans="6:7" x14ac:dyDescent="0.3">
      <c r="F200"/>
      <c r="G200"/>
    </row>
    <row r="201" spans="6:7" x14ac:dyDescent="0.3">
      <c r="F201"/>
      <c r="G201"/>
    </row>
    <row r="202" spans="6:7" x14ac:dyDescent="0.3">
      <c r="F202"/>
      <c r="G202"/>
    </row>
    <row r="203" spans="6:7" x14ac:dyDescent="0.3">
      <c r="F203"/>
      <c r="G203"/>
    </row>
    <row r="204" spans="6:7" x14ac:dyDescent="0.3">
      <c r="F204"/>
      <c r="G204"/>
    </row>
    <row r="205" spans="6:7" x14ac:dyDescent="0.3">
      <c r="F205"/>
      <c r="G205"/>
    </row>
    <row r="206" spans="6:7" x14ac:dyDescent="0.3">
      <c r="F206"/>
      <c r="G206"/>
    </row>
    <row r="207" spans="6:7" x14ac:dyDescent="0.3">
      <c r="F207"/>
      <c r="G207"/>
    </row>
    <row r="208" spans="6:7" x14ac:dyDescent="0.3">
      <c r="F208"/>
      <c r="G208"/>
    </row>
    <row r="209" spans="6:7" x14ac:dyDescent="0.3">
      <c r="F209"/>
      <c r="G209"/>
    </row>
    <row r="210" spans="6:7" x14ac:dyDescent="0.3">
      <c r="F210"/>
      <c r="G210"/>
    </row>
    <row r="211" spans="6:7" x14ac:dyDescent="0.3">
      <c r="F211"/>
      <c r="G211"/>
    </row>
    <row r="212" spans="6:7" x14ac:dyDescent="0.3">
      <c r="F212"/>
      <c r="G212"/>
    </row>
    <row r="213" spans="6:7" x14ac:dyDescent="0.3">
      <c r="F213"/>
      <c r="G213"/>
    </row>
    <row r="214" spans="6:7" x14ac:dyDescent="0.3">
      <c r="F214"/>
      <c r="G214"/>
    </row>
    <row r="215" spans="6:7" x14ac:dyDescent="0.3">
      <c r="F215"/>
      <c r="G215"/>
    </row>
    <row r="216" spans="6:7" x14ac:dyDescent="0.3">
      <c r="F216"/>
      <c r="G216"/>
    </row>
    <row r="217" spans="6:7" x14ac:dyDescent="0.3">
      <c r="F217"/>
      <c r="G217"/>
    </row>
    <row r="218" spans="6:7" x14ac:dyDescent="0.3">
      <c r="F218"/>
      <c r="G218"/>
    </row>
    <row r="219" spans="6:7" x14ac:dyDescent="0.3">
      <c r="F219"/>
      <c r="G219"/>
    </row>
    <row r="220" spans="6:7" x14ac:dyDescent="0.3">
      <c r="F220"/>
      <c r="G220"/>
    </row>
  </sheetData>
  <mergeCells count="14">
    <mergeCell ref="F85:F88"/>
    <mergeCell ref="F99:F104"/>
    <mergeCell ref="G112:G117"/>
    <mergeCell ref="G118:G121"/>
    <mergeCell ref="G93:G98"/>
    <mergeCell ref="G99:G104"/>
    <mergeCell ref="G105:G111"/>
    <mergeCell ref="G85:G88"/>
    <mergeCell ref="G89:G92"/>
    <mergeCell ref="F118:F121"/>
    <mergeCell ref="F112:F117"/>
    <mergeCell ref="F105:F111"/>
    <mergeCell ref="F93:F98"/>
    <mergeCell ref="F89:F92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3D808-0A96-49B8-9476-3F0C73FE1CDA}">
  <dimension ref="A1:E11"/>
  <sheetViews>
    <sheetView workbookViewId="0">
      <selection activeCell="E11" sqref="A1:E11"/>
    </sheetView>
  </sheetViews>
  <sheetFormatPr baseColWidth="10" defaultColWidth="8.88671875" defaultRowHeight="14.4" x14ac:dyDescent="0.3"/>
  <cols>
    <col min="1" max="1" width="35" customWidth="1"/>
    <col min="2" max="2" width="30.33203125" customWidth="1"/>
    <col min="3" max="3" width="24.33203125" customWidth="1"/>
    <col min="5" max="5" width="19.109375" customWidth="1"/>
  </cols>
  <sheetData>
    <row r="1" spans="1:5" x14ac:dyDescent="0.3">
      <c r="A1" s="42" t="s">
        <v>123</v>
      </c>
      <c r="B1" s="42" t="s">
        <v>124</v>
      </c>
      <c r="C1" s="42" t="s">
        <v>125</v>
      </c>
      <c r="D1" s="42" t="s">
        <v>126</v>
      </c>
      <c r="E1" s="42" t="s">
        <v>157</v>
      </c>
    </row>
    <row r="2" spans="1:5" x14ac:dyDescent="0.3">
      <c r="A2" s="43" t="s">
        <v>127</v>
      </c>
      <c r="B2" s="43" t="s">
        <v>128</v>
      </c>
      <c r="C2" s="43" t="s">
        <v>128</v>
      </c>
      <c r="D2" s="43" t="s">
        <v>129</v>
      </c>
      <c r="E2" s="43" t="s">
        <v>154</v>
      </c>
    </row>
    <row r="3" spans="1:5" x14ac:dyDescent="0.3">
      <c r="A3" s="43" t="s">
        <v>45</v>
      </c>
      <c r="B3" s="43" t="s">
        <v>130</v>
      </c>
      <c r="C3" s="43" t="s">
        <v>130</v>
      </c>
      <c r="D3" s="43" t="s">
        <v>131</v>
      </c>
      <c r="E3" s="43" t="s">
        <v>155</v>
      </c>
    </row>
    <row r="4" spans="1:5" x14ac:dyDescent="0.3">
      <c r="A4" s="43" t="s">
        <v>132</v>
      </c>
      <c r="B4" s="43" t="s">
        <v>133</v>
      </c>
      <c r="C4" s="43" t="s">
        <v>134</v>
      </c>
      <c r="D4" s="43" t="s">
        <v>129</v>
      </c>
      <c r="E4" s="43" t="s">
        <v>155</v>
      </c>
    </row>
    <row r="5" spans="1:5" x14ac:dyDescent="0.3">
      <c r="A5" s="43" t="s">
        <v>135</v>
      </c>
      <c r="B5" s="43" t="s">
        <v>136</v>
      </c>
      <c r="C5" s="43" t="s">
        <v>137</v>
      </c>
      <c r="D5" s="43" t="s">
        <v>129</v>
      </c>
      <c r="E5" s="43" t="s">
        <v>155</v>
      </c>
    </row>
    <row r="6" spans="1:5" x14ac:dyDescent="0.3">
      <c r="A6" s="43" t="s">
        <v>138</v>
      </c>
      <c r="B6" s="43" t="s">
        <v>139</v>
      </c>
      <c r="C6" s="43" t="s">
        <v>140</v>
      </c>
      <c r="D6" s="43" t="s">
        <v>131</v>
      </c>
      <c r="E6" s="43" t="s">
        <v>154</v>
      </c>
    </row>
    <row r="7" spans="1:5" x14ac:dyDescent="0.3">
      <c r="A7" s="43" t="s">
        <v>141</v>
      </c>
      <c r="B7" s="43" t="s">
        <v>142</v>
      </c>
      <c r="C7" s="43" t="s">
        <v>143</v>
      </c>
      <c r="D7" s="43" t="s">
        <v>131</v>
      </c>
      <c r="E7" s="43" t="s">
        <v>154</v>
      </c>
    </row>
    <row r="8" spans="1:5" x14ac:dyDescent="0.3">
      <c r="A8" s="43" t="s">
        <v>144</v>
      </c>
      <c r="B8" s="43" t="s">
        <v>145</v>
      </c>
      <c r="C8" s="43" t="s">
        <v>146</v>
      </c>
      <c r="D8" s="43" t="s">
        <v>129</v>
      </c>
      <c r="E8" s="43" t="s">
        <v>154</v>
      </c>
    </row>
    <row r="9" spans="1:5" x14ac:dyDescent="0.3">
      <c r="A9" s="43" t="s">
        <v>147</v>
      </c>
      <c r="B9" s="43" t="s">
        <v>148</v>
      </c>
      <c r="C9" s="43" t="s">
        <v>149</v>
      </c>
      <c r="D9" s="43" t="s">
        <v>129</v>
      </c>
      <c r="E9" s="43" t="s">
        <v>155</v>
      </c>
    </row>
    <row r="10" spans="1:5" x14ac:dyDescent="0.3">
      <c r="A10" s="43" t="s">
        <v>150</v>
      </c>
      <c r="B10" s="43" t="s">
        <v>151</v>
      </c>
      <c r="C10" s="43" t="s">
        <v>151</v>
      </c>
      <c r="D10" s="43" t="s">
        <v>129</v>
      </c>
      <c r="E10" s="43" t="s">
        <v>156</v>
      </c>
    </row>
    <row r="11" spans="1:5" x14ac:dyDescent="0.3">
      <c r="A11" s="43" t="s">
        <v>152</v>
      </c>
      <c r="B11" s="43" t="s">
        <v>153</v>
      </c>
      <c r="C11" s="43" t="s">
        <v>153</v>
      </c>
      <c r="D11" s="43" t="s">
        <v>129</v>
      </c>
      <c r="E11" s="43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costs</vt:lpstr>
      <vt:lpstr>lci</vt:lpstr>
    </vt:vector>
  </TitlesOfParts>
  <Company>PSI - Paul Scherrer 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Terlouw Tom Mike</dc:creator>
  <cp:lastModifiedBy>Tobias Schließ</cp:lastModifiedBy>
  <dcterms:created xsi:type="dcterms:W3CDTF">2021-09-15T15:15:29Z</dcterms:created>
  <dcterms:modified xsi:type="dcterms:W3CDTF">2026-09-16T10:50:59Z</dcterms:modified>
</cp:coreProperties>
</file>